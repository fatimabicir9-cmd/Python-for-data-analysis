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319f99a9c192cfd1/Documents/"/>
    </mc:Choice>
  </mc:AlternateContent>
  <xr:revisionPtr revIDLastSave="0" documentId="8_{AF0D3C18-0B02-4D64-A3A8-C94309B9CE35}" xr6:coauthVersionLast="47" xr6:coauthVersionMax="47" xr10:uidLastSave="{00000000-0000-0000-0000-000000000000}"/>
  <bookViews>
    <workbookView xWindow="-110" yWindow="-110" windowWidth="19420" windowHeight="10300" firstSheet="3" activeTab="5" xr2:uid="{74F7B3C4-815F-42FF-85DC-F97C47EBB932}"/>
  </bookViews>
  <sheets>
    <sheet name="Sheet1" sheetId="18" r:id="rId1"/>
    <sheet name="Row data" sheetId="5" r:id="rId2"/>
    <sheet name="cleaned data" sheetId="11" r:id="rId3"/>
    <sheet name="analaysis" sheetId="9" r:id="rId4"/>
    <sheet name="sumarry" sheetId="12" r:id="rId5"/>
    <sheet name="pivotaple" sheetId="17" r:id="rId6"/>
    <sheet name="Dashpout" sheetId="4" r:id="rId7"/>
  </sheets>
  <definedNames>
    <definedName name="_xlnm._FilterDatabase" localSheetId="3" hidden="1">analaysis!$A$1:$AC$283</definedName>
    <definedName name="Slicer_Region">#N/A</definedName>
    <definedName name="Slicer_Usage_Date">#N/A</definedName>
    <definedName name="Slicer_Usage_Date1">#N/A</definedName>
    <definedName name="Slicer_User_Type">#N/A</definedName>
  </definedNames>
  <calcPr calcId="191029"/>
  <pivotCaches>
    <pivotCache cacheId="1" r:id="rId8"/>
    <pivotCache cacheId="7"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9" l="1"/>
  <c r="O2" i="9" s="1"/>
  <c r="L2" i="9"/>
  <c r="M2" i="9" s="1"/>
  <c r="H3" i="9"/>
  <c r="Z3" i="9" s="1"/>
  <c r="H4" i="9"/>
  <c r="Z4" i="9" s="1"/>
  <c r="H5" i="9"/>
  <c r="I5" i="9" s="1"/>
  <c r="H6" i="9"/>
  <c r="Z6" i="9" s="1"/>
  <c r="H7" i="9"/>
  <c r="Z7" i="9" s="1"/>
  <c r="H8" i="9"/>
  <c r="H9" i="9"/>
  <c r="Z9" i="9" s="1"/>
  <c r="H10" i="9"/>
  <c r="Z10" i="9" s="1"/>
  <c r="H11" i="9"/>
  <c r="Z11" i="9" s="1"/>
  <c r="H12" i="9"/>
  <c r="Z12" i="9" s="1"/>
  <c r="H13" i="9"/>
  <c r="Z13" i="9" s="1"/>
  <c r="H14" i="9"/>
  <c r="Z14" i="9" s="1"/>
  <c r="H15" i="9"/>
  <c r="Z15" i="9" s="1"/>
  <c r="H16" i="9"/>
  <c r="H17" i="9"/>
  <c r="I17" i="9" s="1"/>
  <c r="H18" i="9"/>
  <c r="Z18" i="9" s="1"/>
  <c r="H19" i="9"/>
  <c r="Z19" i="9" s="1"/>
  <c r="H20" i="9"/>
  <c r="Z20" i="9" s="1"/>
  <c r="H21" i="9"/>
  <c r="Z21" i="9" s="1"/>
  <c r="H22" i="9"/>
  <c r="Z22" i="9" s="1"/>
  <c r="H23" i="9"/>
  <c r="I23" i="9" s="1"/>
  <c r="H24" i="9"/>
  <c r="H25" i="9"/>
  <c r="Z25" i="9" s="1"/>
  <c r="H26" i="9"/>
  <c r="Z26" i="9" s="1"/>
  <c r="H27" i="9"/>
  <c r="Z27" i="9" s="1"/>
  <c r="H28" i="9"/>
  <c r="Z28" i="9" s="1"/>
  <c r="H29" i="9"/>
  <c r="Z29" i="9" s="1"/>
  <c r="H30" i="9"/>
  <c r="I30" i="9" s="1"/>
  <c r="H31" i="9"/>
  <c r="Z31" i="9" s="1"/>
  <c r="H32" i="9"/>
  <c r="H33" i="9"/>
  <c r="Z33" i="9" s="1"/>
  <c r="H34" i="9"/>
  <c r="Z34" i="9" s="1"/>
  <c r="H35" i="9"/>
  <c r="Z35" i="9" s="1"/>
  <c r="H36" i="9"/>
  <c r="I36" i="9" s="1"/>
  <c r="H37" i="9"/>
  <c r="Z37" i="9" s="1"/>
  <c r="H38" i="9"/>
  <c r="Z38" i="9" s="1"/>
  <c r="H39" i="9"/>
  <c r="Z39" i="9" s="1"/>
  <c r="H40" i="9"/>
  <c r="H41" i="9"/>
  <c r="Z41" i="9" s="1"/>
  <c r="H42" i="9"/>
  <c r="Z42" i="9" s="1"/>
  <c r="H43" i="9"/>
  <c r="Z43" i="9" s="1"/>
  <c r="H44" i="9"/>
  <c r="Z44" i="9" s="1"/>
  <c r="H45" i="9"/>
  <c r="Z45" i="9" s="1"/>
  <c r="H46" i="9"/>
  <c r="Z46" i="9" s="1"/>
  <c r="H47" i="9"/>
  <c r="Z47" i="9" s="1"/>
  <c r="H48" i="9"/>
  <c r="H49" i="9"/>
  <c r="I49" i="9" s="1"/>
  <c r="H50" i="9"/>
  <c r="Z50" i="9" s="1"/>
  <c r="H51" i="9"/>
  <c r="Z51" i="9" s="1"/>
  <c r="H52" i="9"/>
  <c r="Z52" i="9" s="1"/>
  <c r="H53" i="9"/>
  <c r="Z53" i="9" s="1"/>
  <c r="H54" i="9"/>
  <c r="Z54" i="9" s="1"/>
  <c r="H55" i="9"/>
  <c r="I55" i="9" s="1"/>
  <c r="H56" i="9"/>
  <c r="H57" i="9"/>
  <c r="Z57" i="9" s="1"/>
  <c r="H58" i="9"/>
  <c r="Z58" i="9" s="1"/>
  <c r="H59" i="9"/>
  <c r="Z59" i="9" s="1"/>
  <c r="H60" i="9"/>
  <c r="Z60" i="9" s="1"/>
  <c r="H61" i="9"/>
  <c r="Z61" i="9" s="1"/>
  <c r="H62" i="9"/>
  <c r="I62" i="9" s="1"/>
  <c r="H63" i="9"/>
  <c r="Z63" i="9" s="1"/>
  <c r="H64" i="9"/>
  <c r="H65" i="9"/>
  <c r="Z65" i="9" s="1"/>
  <c r="H66" i="9"/>
  <c r="Z66" i="9" s="1"/>
  <c r="H67" i="9"/>
  <c r="Z67" i="9" s="1"/>
  <c r="H68" i="9"/>
  <c r="I68" i="9" s="1"/>
  <c r="H69" i="9"/>
  <c r="Z69" i="9" s="1"/>
  <c r="H70" i="9"/>
  <c r="Z70" i="9" s="1"/>
  <c r="H71" i="9"/>
  <c r="Z71" i="9" s="1"/>
  <c r="H72" i="9"/>
  <c r="H73" i="9"/>
  <c r="Z73" i="9" s="1"/>
  <c r="H74" i="9"/>
  <c r="Z74" i="9" s="1"/>
  <c r="H75" i="9"/>
  <c r="Z75" i="9" s="1"/>
  <c r="H76" i="9"/>
  <c r="Z76" i="9" s="1"/>
  <c r="H77" i="9"/>
  <c r="Z77" i="9" s="1"/>
  <c r="H78" i="9"/>
  <c r="Z78" i="9" s="1"/>
  <c r="H79" i="9"/>
  <c r="Z79" i="9" s="1"/>
  <c r="H80" i="9"/>
  <c r="H81" i="9"/>
  <c r="I81" i="9" s="1"/>
  <c r="H82" i="9"/>
  <c r="Z82" i="9" s="1"/>
  <c r="H83" i="9"/>
  <c r="Z83" i="9" s="1"/>
  <c r="H84" i="9"/>
  <c r="Z84" i="9" s="1"/>
  <c r="H85" i="9"/>
  <c r="Z85" i="9" s="1"/>
  <c r="H86" i="9"/>
  <c r="Z86" i="9" s="1"/>
  <c r="H87" i="9"/>
  <c r="I87" i="9" s="1"/>
  <c r="H88" i="9"/>
  <c r="H89" i="9"/>
  <c r="Z89" i="9" s="1"/>
  <c r="H90" i="9"/>
  <c r="Z90" i="9" s="1"/>
  <c r="H91" i="9"/>
  <c r="Z91" i="9" s="1"/>
  <c r="H92" i="9"/>
  <c r="Z92" i="9" s="1"/>
  <c r="H93" i="9"/>
  <c r="Z93" i="9" s="1"/>
  <c r="H94" i="9"/>
  <c r="I94" i="9" s="1"/>
  <c r="H95" i="9"/>
  <c r="I95" i="9" s="1"/>
  <c r="H96" i="9"/>
  <c r="I96" i="9" s="1"/>
  <c r="AC96" i="9" s="1"/>
  <c r="H97" i="9"/>
  <c r="I97" i="9" s="1"/>
  <c r="H98" i="9"/>
  <c r="I98" i="9" s="1"/>
  <c r="AB98" i="9" s="1"/>
  <c r="H99" i="9"/>
  <c r="I99" i="9" s="1"/>
  <c r="H100" i="9"/>
  <c r="I100" i="9" s="1"/>
  <c r="H101" i="9"/>
  <c r="I101" i="9" s="1"/>
  <c r="H102" i="9"/>
  <c r="I102" i="9" s="1"/>
  <c r="H103" i="9"/>
  <c r="I103" i="9" s="1"/>
  <c r="H104" i="9"/>
  <c r="I104" i="9" s="1"/>
  <c r="AC104" i="9" s="1"/>
  <c r="H105" i="9"/>
  <c r="I105" i="9" s="1"/>
  <c r="H106" i="9"/>
  <c r="I106" i="9" s="1"/>
  <c r="AB106" i="9" s="1"/>
  <c r="H107" i="9"/>
  <c r="I107" i="9" s="1"/>
  <c r="H108" i="9"/>
  <c r="I108" i="9" s="1"/>
  <c r="H109" i="9"/>
  <c r="I109" i="9" s="1"/>
  <c r="H110" i="9"/>
  <c r="I110" i="9" s="1"/>
  <c r="H111" i="9"/>
  <c r="I111" i="9" s="1"/>
  <c r="H112" i="9"/>
  <c r="I112" i="9" s="1"/>
  <c r="AC112" i="9" s="1"/>
  <c r="H113" i="9"/>
  <c r="I113" i="9" s="1"/>
  <c r="H114" i="9"/>
  <c r="I114" i="9" s="1"/>
  <c r="AB114" i="9" s="1"/>
  <c r="H115" i="9"/>
  <c r="I115" i="9" s="1"/>
  <c r="H116" i="9"/>
  <c r="I116" i="9" s="1"/>
  <c r="H117" i="9"/>
  <c r="I117" i="9" s="1"/>
  <c r="H118" i="9"/>
  <c r="I118" i="9" s="1"/>
  <c r="H119" i="9"/>
  <c r="I119" i="9" s="1"/>
  <c r="H120" i="9"/>
  <c r="I120" i="9" s="1"/>
  <c r="AC120" i="9" s="1"/>
  <c r="H121" i="9"/>
  <c r="I121" i="9" s="1"/>
  <c r="H122" i="9"/>
  <c r="I122" i="9" s="1"/>
  <c r="AB122" i="9" s="1"/>
  <c r="H123" i="9"/>
  <c r="I123" i="9" s="1"/>
  <c r="H124" i="9"/>
  <c r="I124" i="9" s="1"/>
  <c r="H125" i="9"/>
  <c r="I125" i="9" s="1"/>
  <c r="H126" i="9"/>
  <c r="I126" i="9" s="1"/>
  <c r="H127" i="9"/>
  <c r="I127" i="9" s="1"/>
  <c r="H128" i="9"/>
  <c r="I128" i="9" s="1"/>
  <c r="AC128" i="9" s="1"/>
  <c r="H129" i="9"/>
  <c r="I129" i="9" s="1"/>
  <c r="H130" i="9"/>
  <c r="I130" i="9" s="1"/>
  <c r="AB130" i="9" s="1"/>
  <c r="H131" i="9"/>
  <c r="I131" i="9" s="1"/>
  <c r="H132" i="9"/>
  <c r="I132" i="9" s="1"/>
  <c r="H133" i="9"/>
  <c r="I133" i="9" s="1"/>
  <c r="H134" i="9"/>
  <c r="I134" i="9" s="1"/>
  <c r="H135" i="9"/>
  <c r="I135" i="9" s="1"/>
  <c r="H136" i="9"/>
  <c r="I136" i="9" s="1"/>
  <c r="AC136" i="9" s="1"/>
  <c r="H137" i="9"/>
  <c r="I137" i="9" s="1"/>
  <c r="H138" i="9"/>
  <c r="I138" i="9" s="1"/>
  <c r="AB138" i="9" s="1"/>
  <c r="H139" i="9"/>
  <c r="I139" i="9" s="1"/>
  <c r="H140" i="9"/>
  <c r="I140" i="9" s="1"/>
  <c r="H141" i="9"/>
  <c r="I141" i="9" s="1"/>
  <c r="H142" i="9"/>
  <c r="I142" i="9" s="1"/>
  <c r="H143" i="9"/>
  <c r="I143" i="9" s="1"/>
  <c r="H144" i="9"/>
  <c r="I144" i="9" s="1"/>
  <c r="AC144" i="9" s="1"/>
  <c r="H145" i="9"/>
  <c r="I145" i="9" s="1"/>
  <c r="H146" i="9"/>
  <c r="I146" i="9" s="1"/>
  <c r="AB146" i="9" s="1"/>
  <c r="H147" i="9"/>
  <c r="I147" i="9" s="1"/>
  <c r="H148" i="9"/>
  <c r="I148" i="9" s="1"/>
  <c r="H149" i="9"/>
  <c r="I149" i="9" s="1"/>
  <c r="H150" i="9"/>
  <c r="I150" i="9" s="1"/>
  <c r="H151" i="9"/>
  <c r="I151" i="9" s="1"/>
  <c r="H152" i="9"/>
  <c r="I152" i="9" s="1"/>
  <c r="AC152" i="9" s="1"/>
  <c r="H153" i="9"/>
  <c r="I153" i="9" s="1"/>
  <c r="H154" i="9"/>
  <c r="I154" i="9" s="1"/>
  <c r="AB154" i="9" s="1"/>
  <c r="H155" i="9"/>
  <c r="I155" i="9" s="1"/>
  <c r="H156" i="9"/>
  <c r="I156" i="9" s="1"/>
  <c r="H157" i="9"/>
  <c r="I157" i="9" s="1"/>
  <c r="H158" i="9"/>
  <c r="I158" i="9" s="1"/>
  <c r="H159" i="9"/>
  <c r="I159" i="9" s="1"/>
  <c r="H160" i="9"/>
  <c r="I160" i="9" s="1"/>
  <c r="AC160" i="9" s="1"/>
  <c r="H161" i="9"/>
  <c r="I161" i="9" s="1"/>
  <c r="H162" i="9"/>
  <c r="I162" i="9" s="1"/>
  <c r="AB162" i="9" s="1"/>
  <c r="H163" i="9"/>
  <c r="I163" i="9" s="1"/>
  <c r="H164" i="9"/>
  <c r="I164" i="9" s="1"/>
  <c r="H165" i="9"/>
  <c r="I165" i="9" s="1"/>
  <c r="H166" i="9"/>
  <c r="I166" i="9" s="1"/>
  <c r="H167" i="9"/>
  <c r="I167" i="9" s="1"/>
  <c r="H168" i="9"/>
  <c r="I168" i="9" s="1"/>
  <c r="AC168" i="9" s="1"/>
  <c r="H169" i="9"/>
  <c r="I169" i="9" s="1"/>
  <c r="H170" i="9"/>
  <c r="I170" i="9" s="1"/>
  <c r="AB170" i="9" s="1"/>
  <c r="H171" i="9"/>
  <c r="I171" i="9" s="1"/>
  <c r="H172" i="9"/>
  <c r="I172" i="9" s="1"/>
  <c r="H173" i="9"/>
  <c r="I173" i="9" s="1"/>
  <c r="H174" i="9"/>
  <c r="I174" i="9" s="1"/>
  <c r="H175" i="9"/>
  <c r="I175" i="9" s="1"/>
  <c r="H176" i="9"/>
  <c r="I176" i="9" s="1"/>
  <c r="AC176" i="9" s="1"/>
  <c r="H177" i="9"/>
  <c r="I177" i="9" s="1"/>
  <c r="H178" i="9"/>
  <c r="I178" i="9" s="1"/>
  <c r="AB178" i="9" s="1"/>
  <c r="H179" i="9"/>
  <c r="I179" i="9" s="1"/>
  <c r="H180" i="9"/>
  <c r="I180" i="9" s="1"/>
  <c r="H181" i="9"/>
  <c r="I181" i="9" s="1"/>
  <c r="H182" i="9"/>
  <c r="I182" i="9" s="1"/>
  <c r="H183" i="9"/>
  <c r="I183" i="9" s="1"/>
  <c r="H184" i="9"/>
  <c r="I184" i="9" s="1"/>
  <c r="AC184" i="9" s="1"/>
  <c r="H185" i="9"/>
  <c r="I185" i="9" s="1"/>
  <c r="H186" i="9"/>
  <c r="I186" i="9" s="1"/>
  <c r="AB186" i="9" s="1"/>
  <c r="H187" i="9"/>
  <c r="I187" i="9" s="1"/>
  <c r="H188" i="9"/>
  <c r="I188" i="9" s="1"/>
  <c r="H189" i="9"/>
  <c r="I189" i="9" s="1"/>
  <c r="H190" i="9"/>
  <c r="I190" i="9" s="1"/>
  <c r="H191" i="9"/>
  <c r="I191" i="9" s="1"/>
  <c r="H192" i="9"/>
  <c r="I192" i="9" s="1"/>
  <c r="AC192" i="9" s="1"/>
  <c r="H193" i="9"/>
  <c r="I193" i="9" s="1"/>
  <c r="H194" i="9"/>
  <c r="I194" i="9" s="1"/>
  <c r="AB194" i="9" s="1"/>
  <c r="H195" i="9"/>
  <c r="I195" i="9" s="1"/>
  <c r="H196" i="9"/>
  <c r="I196" i="9" s="1"/>
  <c r="H197" i="9"/>
  <c r="I197" i="9" s="1"/>
  <c r="H198" i="9"/>
  <c r="I198" i="9" s="1"/>
  <c r="H199" i="9"/>
  <c r="I199" i="9" s="1"/>
  <c r="H200" i="9"/>
  <c r="I200" i="9" s="1"/>
  <c r="AC200" i="9" s="1"/>
  <c r="H201" i="9"/>
  <c r="I201" i="9" s="1"/>
  <c r="H202" i="9"/>
  <c r="I202" i="9" s="1"/>
  <c r="AB202" i="9" s="1"/>
  <c r="H203" i="9"/>
  <c r="I203" i="9" s="1"/>
  <c r="H204" i="9"/>
  <c r="I204" i="9" s="1"/>
  <c r="H205" i="9"/>
  <c r="I205" i="9" s="1"/>
  <c r="H206" i="9"/>
  <c r="I206" i="9" s="1"/>
  <c r="H207" i="9"/>
  <c r="I207" i="9" s="1"/>
  <c r="H208" i="9"/>
  <c r="I208" i="9" s="1"/>
  <c r="AC208" i="9" s="1"/>
  <c r="H209" i="9"/>
  <c r="I209" i="9" s="1"/>
  <c r="H210" i="9"/>
  <c r="I210" i="9" s="1"/>
  <c r="AB210" i="9" s="1"/>
  <c r="H211" i="9"/>
  <c r="I211" i="9" s="1"/>
  <c r="H212" i="9"/>
  <c r="I212" i="9" s="1"/>
  <c r="H213" i="9"/>
  <c r="I213" i="9" s="1"/>
  <c r="H214" i="9"/>
  <c r="I214" i="9" s="1"/>
  <c r="H215" i="9"/>
  <c r="I215" i="9" s="1"/>
  <c r="H216" i="9"/>
  <c r="I216" i="9" s="1"/>
  <c r="AC216" i="9" s="1"/>
  <c r="H217" i="9"/>
  <c r="I217" i="9" s="1"/>
  <c r="H218" i="9"/>
  <c r="I218" i="9" s="1"/>
  <c r="AB218" i="9" s="1"/>
  <c r="H219" i="9"/>
  <c r="I219" i="9" s="1"/>
  <c r="H220" i="9"/>
  <c r="I220" i="9" s="1"/>
  <c r="H221" i="9"/>
  <c r="I221" i="9" s="1"/>
  <c r="H222" i="9"/>
  <c r="I222" i="9" s="1"/>
  <c r="H223" i="9"/>
  <c r="I223" i="9" s="1"/>
  <c r="H224" i="9"/>
  <c r="I224" i="9" s="1"/>
  <c r="AC224" i="9" s="1"/>
  <c r="H225" i="9"/>
  <c r="I225" i="9" s="1"/>
  <c r="H226" i="9"/>
  <c r="I226" i="9" s="1"/>
  <c r="AB226" i="9" s="1"/>
  <c r="H227" i="9"/>
  <c r="I227" i="9" s="1"/>
  <c r="H228" i="9"/>
  <c r="I228" i="9" s="1"/>
  <c r="H229" i="9"/>
  <c r="I229" i="9" s="1"/>
  <c r="H230" i="9"/>
  <c r="I230" i="9" s="1"/>
  <c r="H231" i="9"/>
  <c r="I231" i="9" s="1"/>
  <c r="H232" i="9"/>
  <c r="I232" i="9" s="1"/>
  <c r="AC232" i="9" s="1"/>
  <c r="H233" i="9"/>
  <c r="I233" i="9" s="1"/>
  <c r="H234" i="9"/>
  <c r="I234" i="9" s="1"/>
  <c r="AB234" i="9" s="1"/>
  <c r="H235" i="9"/>
  <c r="I235" i="9" s="1"/>
  <c r="H236" i="9"/>
  <c r="I236" i="9" s="1"/>
  <c r="H237" i="9"/>
  <c r="I237" i="9" s="1"/>
  <c r="H238" i="9"/>
  <c r="I238" i="9" s="1"/>
  <c r="H239" i="9"/>
  <c r="I239" i="9" s="1"/>
  <c r="H240" i="9"/>
  <c r="I240" i="9" s="1"/>
  <c r="AC240" i="9" s="1"/>
  <c r="H241" i="9"/>
  <c r="I241" i="9" s="1"/>
  <c r="H242" i="9"/>
  <c r="I242" i="9" s="1"/>
  <c r="AB242" i="9" s="1"/>
  <c r="H243" i="9"/>
  <c r="I243" i="9" s="1"/>
  <c r="H244" i="9"/>
  <c r="I244" i="9" s="1"/>
  <c r="H245" i="9"/>
  <c r="I245" i="9" s="1"/>
  <c r="H246" i="9"/>
  <c r="I246" i="9" s="1"/>
  <c r="H247" i="9"/>
  <c r="I247" i="9" s="1"/>
  <c r="H248" i="9"/>
  <c r="I248" i="9" s="1"/>
  <c r="AC248" i="9" s="1"/>
  <c r="H249" i="9"/>
  <c r="I249" i="9" s="1"/>
  <c r="H250" i="9"/>
  <c r="I250" i="9" s="1"/>
  <c r="AB250" i="9" s="1"/>
  <c r="H251" i="9"/>
  <c r="I251" i="9" s="1"/>
  <c r="H252" i="9"/>
  <c r="I252" i="9" s="1"/>
  <c r="H253" i="9"/>
  <c r="I253" i="9" s="1"/>
  <c r="H254" i="9"/>
  <c r="I254" i="9" s="1"/>
  <c r="H255" i="9"/>
  <c r="I255" i="9" s="1"/>
  <c r="H256" i="9"/>
  <c r="I256" i="9" s="1"/>
  <c r="AC256" i="9" s="1"/>
  <c r="H257" i="9"/>
  <c r="I257" i="9" s="1"/>
  <c r="H258" i="9"/>
  <c r="I258" i="9" s="1"/>
  <c r="AB258" i="9" s="1"/>
  <c r="H259" i="9"/>
  <c r="I259" i="9" s="1"/>
  <c r="H260" i="9"/>
  <c r="I260" i="9" s="1"/>
  <c r="H261" i="9"/>
  <c r="I261" i="9" s="1"/>
  <c r="H262" i="9"/>
  <c r="I262" i="9" s="1"/>
  <c r="H263" i="9"/>
  <c r="I263" i="9" s="1"/>
  <c r="H264" i="9"/>
  <c r="I264" i="9" s="1"/>
  <c r="AC264" i="9" s="1"/>
  <c r="H265" i="9"/>
  <c r="I265" i="9" s="1"/>
  <c r="H266" i="9"/>
  <c r="I266" i="9" s="1"/>
  <c r="AB266" i="9" s="1"/>
  <c r="H267" i="9"/>
  <c r="I267" i="9" s="1"/>
  <c r="H268" i="9"/>
  <c r="I268" i="9" s="1"/>
  <c r="H269" i="9"/>
  <c r="I269" i="9" s="1"/>
  <c r="H270" i="9"/>
  <c r="I270" i="9" s="1"/>
  <c r="H271" i="9"/>
  <c r="I271" i="9" s="1"/>
  <c r="H272" i="9"/>
  <c r="I272" i="9" s="1"/>
  <c r="AC272" i="9" s="1"/>
  <c r="H273" i="9"/>
  <c r="I273" i="9" s="1"/>
  <c r="H274" i="9"/>
  <c r="I274" i="9" s="1"/>
  <c r="AB274" i="9" s="1"/>
  <c r="H275" i="9"/>
  <c r="I275" i="9" s="1"/>
  <c r="H276" i="9"/>
  <c r="I276" i="9" s="1"/>
  <c r="H277" i="9"/>
  <c r="I277" i="9" s="1"/>
  <c r="H278" i="9"/>
  <c r="I278" i="9" s="1"/>
  <c r="H279" i="9"/>
  <c r="I279" i="9" s="1"/>
  <c r="H280" i="9"/>
  <c r="I280" i="9" s="1"/>
  <c r="AC280" i="9" s="1"/>
  <c r="H281" i="9"/>
  <c r="I281" i="9" s="1"/>
  <c r="H282" i="9"/>
  <c r="I282" i="9" s="1"/>
  <c r="AB282" i="9" s="1"/>
  <c r="H283" i="9"/>
  <c r="I283" i="9" s="1"/>
  <c r="H2" i="9"/>
  <c r="I2" i="9" s="1"/>
  <c r="Z279" i="9" l="1"/>
  <c r="Z151" i="9"/>
  <c r="Z87" i="9"/>
  <c r="Z215" i="9"/>
  <c r="Z23" i="9"/>
  <c r="AA237" i="9" a="1"/>
  <c r="AA237" i="9" s="1"/>
  <c r="AA147" i="9" a="1"/>
  <c r="AA147" i="9" s="1"/>
  <c r="Z271" i="9"/>
  <c r="Z207" i="9"/>
  <c r="Z143" i="9"/>
  <c r="AA218" i="9" a="1"/>
  <c r="AA218" i="9" s="1"/>
  <c r="AA141" i="9" a="1"/>
  <c r="AA141" i="9" s="1"/>
  <c r="Z263" i="9"/>
  <c r="Z199" i="9"/>
  <c r="Z135" i="9"/>
  <c r="AA211" i="9" a="1"/>
  <c r="AA211" i="9" s="1"/>
  <c r="AA122" i="9" a="1"/>
  <c r="AA122" i="9" s="1"/>
  <c r="Z255" i="9"/>
  <c r="Z191" i="9"/>
  <c r="Z127" i="9"/>
  <c r="AA282" i="9" a="1"/>
  <c r="AA282" i="9" s="1"/>
  <c r="AA205" i="9" a="1"/>
  <c r="AA205" i="9" s="1"/>
  <c r="AA115" i="9" a="1"/>
  <c r="AA115" i="9" s="1"/>
  <c r="Z247" i="9"/>
  <c r="Z183" i="9"/>
  <c r="Z119" i="9"/>
  <c r="Z55" i="9"/>
  <c r="AA275" i="9" a="1"/>
  <c r="AA275" i="9" s="1"/>
  <c r="AA186" i="9" a="1"/>
  <c r="AA186" i="9" s="1"/>
  <c r="AA109" i="9" a="1"/>
  <c r="AA109" i="9" s="1"/>
  <c r="Z239" i="9"/>
  <c r="Z175" i="9"/>
  <c r="Z111" i="9"/>
  <c r="AA269" i="9" a="1"/>
  <c r="AA269" i="9" s="1"/>
  <c r="AA179" i="9" a="1"/>
  <c r="AA179" i="9" s="1"/>
  <c r="AA62" i="9" a="1"/>
  <c r="AA62" i="9" s="1"/>
  <c r="Z231" i="9"/>
  <c r="Z167" i="9"/>
  <c r="Z103" i="9"/>
  <c r="AA250" i="9" a="1"/>
  <c r="AA250" i="9" s="1"/>
  <c r="AA173" i="9" a="1"/>
  <c r="AA173" i="9" s="1"/>
  <c r="AC194" i="9"/>
  <c r="Z223" i="9"/>
  <c r="Z159" i="9"/>
  <c r="Z95" i="9"/>
  <c r="AA243" i="9" a="1"/>
  <c r="AA243" i="9" s="1"/>
  <c r="AA154" i="9" a="1"/>
  <c r="AA154" i="9" s="1"/>
  <c r="AC130" i="9"/>
  <c r="I88" i="9"/>
  <c r="AA88" i="9" a="1"/>
  <c r="AA88" i="9" s="1"/>
  <c r="I40" i="9"/>
  <c r="AA40" i="9" a="1"/>
  <c r="AA40" i="9" s="1"/>
  <c r="I8" i="9"/>
  <c r="AA8" i="9" a="1"/>
  <c r="AA8" i="9" s="1"/>
  <c r="AA96" i="9" a="1"/>
  <c r="AA96" i="9" s="1"/>
  <c r="AC247" i="9"/>
  <c r="AB247" i="9"/>
  <c r="AC215" i="9"/>
  <c r="AB215" i="9"/>
  <c r="AC207" i="9"/>
  <c r="AB207" i="9"/>
  <c r="AC199" i="9"/>
  <c r="AB199" i="9"/>
  <c r="AC191" i="9"/>
  <c r="AB191" i="9"/>
  <c r="AC183" i="9"/>
  <c r="AB183" i="9"/>
  <c r="AC175" i="9"/>
  <c r="AB175" i="9"/>
  <c r="AC167" i="9"/>
  <c r="AB167" i="9"/>
  <c r="AC159" i="9"/>
  <c r="AB159" i="9"/>
  <c r="AC151" i="9"/>
  <c r="AB151" i="9"/>
  <c r="AC143" i="9"/>
  <c r="AB143" i="9"/>
  <c r="AC135" i="9"/>
  <c r="AB135" i="9"/>
  <c r="AC127" i="9"/>
  <c r="AB127" i="9"/>
  <c r="AC119" i="9"/>
  <c r="AB119" i="9"/>
  <c r="AC111" i="9"/>
  <c r="AB111" i="9"/>
  <c r="AC103" i="9"/>
  <c r="AB103" i="9"/>
  <c r="AC95" i="9"/>
  <c r="AB95" i="9"/>
  <c r="AC87" i="9"/>
  <c r="AB87" i="9"/>
  <c r="I79" i="9"/>
  <c r="AA79" i="9" a="1"/>
  <c r="AA79" i="9" s="1"/>
  <c r="I71" i="9"/>
  <c r="AA71" i="9" a="1"/>
  <c r="AA71" i="9" s="1"/>
  <c r="I63" i="9"/>
  <c r="AA63" i="9" a="1"/>
  <c r="AA63" i="9" s="1"/>
  <c r="AC55" i="9"/>
  <c r="AB55" i="9"/>
  <c r="I47" i="9"/>
  <c r="AA47" i="9" a="1"/>
  <c r="AA47" i="9" s="1"/>
  <c r="I39" i="9"/>
  <c r="AA39" i="9" a="1"/>
  <c r="AA39" i="9" s="1"/>
  <c r="I31" i="9"/>
  <c r="AA31" i="9" a="1"/>
  <c r="AA31" i="9" s="1"/>
  <c r="AC23" i="9"/>
  <c r="AB23" i="9"/>
  <c r="I15" i="9"/>
  <c r="AA15" i="9" a="1"/>
  <c r="AA15" i="9" s="1"/>
  <c r="I7" i="9"/>
  <c r="AA7" i="9" a="1"/>
  <c r="AA7" i="9" s="1"/>
  <c r="Z278" i="9"/>
  <c r="Z270" i="9"/>
  <c r="Z262" i="9"/>
  <c r="Z254" i="9"/>
  <c r="Z246" i="9"/>
  <c r="Z238" i="9"/>
  <c r="Z230" i="9"/>
  <c r="Z222" i="9"/>
  <c r="Z214" i="9"/>
  <c r="Z206" i="9"/>
  <c r="Z198" i="9"/>
  <c r="Z190" i="9"/>
  <c r="Z182" i="9"/>
  <c r="Z174" i="9"/>
  <c r="Z166" i="9"/>
  <c r="Z158" i="9"/>
  <c r="Z150" i="9"/>
  <c r="Z142" i="9"/>
  <c r="Z134" i="9"/>
  <c r="Z126" i="9"/>
  <c r="Z118" i="9"/>
  <c r="Z110" i="9"/>
  <c r="Z102" i="9"/>
  <c r="Z94" i="9"/>
  <c r="Z62" i="9"/>
  <c r="Z30" i="9"/>
  <c r="AA281" i="9" a="1"/>
  <c r="AA281" i="9" s="1"/>
  <c r="AA268" i="9" a="1"/>
  <c r="AA268" i="9" s="1"/>
  <c r="AA262" i="9" a="1"/>
  <c r="AA262" i="9" s="1"/>
  <c r="AA255" i="9" a="1"/>
  <c r="AA255" i="9" s="1"/>
  <c r="AA249" i="9" a="1"/>
  <c r="AA249" i="9" s="1"/>
  <c r="AA236" i="9" a="1"/>
  <c r="AA236" i="9" s="1"/>
  <c r="AA230" i="9" a="1"/>
  <c r="AA230" i="9" s="1"/>
  <c r="AA223" i="9" a="1"/>
  <c r="AA223" i="9" s="1"/>
  <c r="AA217" i="9" a="1"/>
  <c r="AA217" i="9" s="1"/>
  <c r="AA204" i="9" a="1"/>
  <c r="AA204" i="9" s="1"/>
  <c r="AA198" i="9" a="1"/>
  <c r="AA198" i="9" s="1"/>
  <c r="AA191" i="9" a="1"/>
  <c r="AA191" i="9" s="1"/>
  <c r="AA185" i="9" a="1"/>
  <c r="AA185" i="9" s="1"/>
  <c r="AA172" i="9" a="1"/>
  <c r="AA172" i="9" s="1"/>
  <c r="AA166" i="9" a="1"/>
  <c r="AA166" i="9" s="1"/>
  <c r="AA159" i="9" a="1"/>
  <c r="AA159" i="9" s="1"/>
  <c r="AA153" i="9" a="1"/>
  <c r="AA153" i="9" s="1"/>
  <c r="AA140" i="9" a="1"/>
  <c r="AA140" i="9" s="1"/>
  <c r="AA134" i="9" a="1"/>
  <c r="AA134" i="9" s="1"/>
  <c r="AA127" i="9" a="1"/>
  <c r="AA127" i="9" s="1"/>
  <c r="AA121" i="9" a="1"/>
  <c r="AA121" i="9" s="1"/>
  <c r="AA108" i="9" a="1"/>
  <c r="AA108" i="9" s="1"/>
  <c r="AA102" i="9" a="1"/>
  <c r="AA102" i="9" s="1"/>
  <c r="AA95" i="9" a="1"/>
  <c r="AA95" i="9" s="1"/>
  <c r="AA55" i="9" a="1"/>
  <c r="AA55" i="9" s="1"/>
  <c r="AA5" i="9" a="1"/>
  <c r="AA5" i="9" s="1"/>
  <c r="AB224" i="9"/>
  <c r="AB160" i="9"/>
  <c r="AB96" i="9"/>
  <c r="AC250" i="9"/>
  <c r="AC186" i="9"/>
  <c r="AC122" i="9"/>
  <c r="I72" i="9"/>
  <c r="AA72" i="9" a="1"/>
  <c r="AA72" i="9" s="1"/>
  <c r="I24" i="9"/>
  <c r="AA24" i="9" a="1"/>
  <c r="AA24" i="9" s="1"/>
  <c r="AA224" i="9" a="1"/>
  <c r="AA224" i="9" s="1"/>
  <c r="AA192" i="9" a="1"/>
  <c r="AA192" i="9" s="1"/>
  <c r="AC271" i="9"/>
  <c r="AB271" i="9"/>
  <c r="AC231" i="9"/>
  <c r="AB231" i="9"/>
  <c r="AC270" i="9"/>
  <c r="AB270" i="9"/>
  <c r="AC254" i="9"/>
  <c r="AB254" i="9"/>
  <c r="AC238" i="9"/>
  <c r="AB238" i="9"/>
  <c r="AC222" i="9"/>
  <c r="AB222" i="9"/>
  <c r="AC206" i="9"/>
  <c r="AB206" i="9"/>
  <c r="AC198" i="9"/>
  <c r="AB198" i="9"/>
  <c r="AC182" i="9"/>
  <c r="AB182" i="9"/>
  <c r="AC166" i="9"/>
  <c r="AB166" i="9"/>
  <c r="AC150" i="9"/>
  <c r="AB150" i="9"/>
  <c r="AC142" i="9"/>
  <c r="AB142" i="9"/>
  <c r="AC134" i="9"/>
  <c r="AB134" i="9"/>
  <c r="AC126" i="9"/>
  <c r="AB126" i="9"/>
  <c r="AC118" i="9"/>
  <c r="AB118" i="9"/>
  <c r="AC110" i="9"/>
  <c r="AB110" i="9"/>
  <c r="AC102" i="9"/>
  <c r="AB102" i="9"/>
  <c r="AC94" i="9"/>
  <c r="AB94" i="9"/>
  <c r="I86" i="9"/>
  <c r="AA86" i="9" a="1"/>
  <c r="AA86" i="9" s="1"/>
  <c r="I78" i="9"/>
  <c r="AA78" i="9" a="1"/>
  <c r="AA78" i="9" s="1"/>
  <c r="I70" i="9"/>
  <c r="AA70" i="9" a="1"/>
  <c r="AA70" i="9" s="1"/>
  <c r="AC62" i="9"/>
  <c r="AB62" i="9"/>
  <c r="I54" i="9"/>
  <c r="AA54" i="9" a="1"/>
  <c r="AA54" i="9" s="1"/>
  <c r="I46" i="9"/>
  <c r="AA46" i="9" a="1"/>
  <c r="AA46" i="9" s="1"/>
  <c r="I38" i="9"/>
  <c r="AA38" i="9" a="1"/>
  <c r="AA38" i="9" s="1"/>
  <c r="AC30" i="9"/>
  <c r="AB30" i="9"/>
  <c r="I22" i="9"/>
  <c r="AA22" i="9" a="1"/>
  <c r="AA22" i="9" s="1"/>
  <c r="I14" i="9"/>
  <c r="AA14" i="9" a="1"/>
  <c r="AA14" i="9" s="1"/>
  <c r="I6" i="9"/>
  <c r="AA6" i="9" a="1"/>
  <c r="AA6" i="9" s="1"/>
  <c r="Y2" i="9"/>
  <c r="Z277" i="9"/>
  <c r="Z269" i="9"/>
  <c r="Z261" i="9"/>
  <c r="Z253" i="9"/>
  <c r="Z245" i="9"/>
  <c r="Z237" i="9"/>
  <c r="Z229" i="9"/>
  <c r="Z221" i="9"/>
  <c r="Z213" i="9"/>
  <c r="Z205" i="9"/>
  <c r="Z197" i="9"/>
  <c r="Z189" i="9"/>
  <c r="Z181" i="9"/>
  <c r="Z173" i="9"/>
  <c r="Z165" i="9"/>
  <c r="Z157" i="9"/>
  <c r="Z149" i="9"/>
  <c r="Z141" i="9"/>
  <c r="Z133" i="9"/>
  <c r="Z125" i="9"/>
  <c r="Z117" i="9"/>
  <c r="Z109" i="9"/>
  <c r="Z101" i="9"/>
  <c r="Z5" i="9"/>
  <c r="AA280" i="9" a="1"/>
  <c r="AA280" i="9" s="1"/>
  <c r="AA274" i="9" a="1"/>
  <c r="AA274" i="9" s="1"/>
  <c r="AA267" i="9" a="1"/>
  <c r="AA267" i="9" s="1"/>
  <c r="AA261" i="9" a="1"/>
  <c r="AA261" i="9" s="1"/>
  <c r="AA248" i="9" a="1"/>
  <c r="AA248" i="9" s="1"/>
  <c r="AA242" i="9" a="1"/>
  <c r="AA242" i="9" s="1"/>
  <c r="AA235" i="9" a="1"/>
  <c r="AA235" i="9" s="1"/>
  <c r="AA229" i="9" a="1"/>
  <c r="AA229" i="9" s="1"/>
  <c r="AA216" i="9" a="1"/>
  <c r="AA216" i="9" s="1"/>
  <c r="AA210" i="9" a="1"/>
  <c r="AA210" i="9" s="1"/>
  <c r="AA203" i="9" a="1"/>
  <c r="AA203" i="9" s="1"/>
  <c r="AA197" i="9" a="1"/>
  <c r="AA197" i="9" s="1"/>
  <c r="AA184" i="9" a="1"/>
  <c r="AA184" i="9" s="1"/>
  <c r="AA178" i="9" a="1"/>
  <c r="AA178" i="9" s="1"/>
  <c r="AA171" i="9" a="1"/>
  <c r="AA171" i="9" s="1"/>
  <c r="AA165" i="9" a="1"/>
  <c r="AA165" i="9" s="1"/>
  <c r="AA152" i="9" a="1"/>
  <c r="AA152" i="9" s="1"/>
  <c r="AA146" i="9" a="1"/>
  <c r="AA146" i="9" s="1"/>
  <c r="AA139" i="9" a="1"/>
  <c r="AA139" i="9" s="1"/>
  <c r="AA133" i="9" a="1"/>
  <c r="AA133" i="9" s="1"/>
  <c r="AA120" i="9" a="1"/>
  <c r="AA120" i="9" s="1"/>
  <c r="AA114" i="9" a="1"/>
  <c r="AA114" i="9" s="1"/>
  <c r="AA107" i="9" a="1"/>
  <c r="AA107" i="9" s="1"/>
  <c r="AA101" i="9" a="1"/>
  <c r="AA101" i="9" s="1"/>
  <c r="AA49" i="9" a="1"/>
  <c r="AA49" i="9" s="1"/>
  <c r="AB280" i="9"/>
  <c r="AB216" i="9"/>
  <c r="AB152" i="9"/>
  <c r="AC242" i="9"/>
  <c r="AC178" i="9"/>
  <c r="AC114" i="9"/>
  <c r="I48" i="9"/>
  <c r="AA48" i="9" a="1"/>
  <c r="AA48" i="9" s="1"/>
  <c r="I16" i="9"/>
  <c r="AA16" i="9" a="1"/>
  <c r="AA16" i="9" s="1"/>
  <c r="AC255" i="9"/>
  <c r="AB255" i="9"/>
  <c r="AC278" i="9"/>
  <c r="AB278" i="9"/>
  <c r="AC262" i="9"/>
  <c r="AB262" i="9"/>
  <c r="AC246" i="9"/>
  <c r="AB246" i="9"/>
  <c r="AC230" i="9"/>
  <c r="AB230" i="9"/>
  <c r="AC214" i="9"/>
  <c r="AB214" i="9"/>
  <c r="AC190" i="9"/>
  <c r="AB190" i="9"/>
  <c r="AC174" i="9"/>
  <c r="AB174" i="9"/>
  <c r="AC158" i="9"/>
  <c r="AB158" i="9"/>
  <c r="AC277" i="9"/>
  <c r="AB277" i="9"/>
  <c r="AC269" i="9"/>
  <c r="AB269" i="9"/>
  <c r="AC261" i="9"/>
  <c r="AB261" i="9"/>
  <c r="AC253" i="9"/>
  <c r="AB253" i="9"/>
  <c r="AC245" i="9"/>
  <c r="AB245" i="9"/>
  <c r="AC237" i="9"/>
  <c r="AB237" i="9"/>
  <c r="AC229" i="9"/>
  <c r="AB229" i="9"/>
  <c r="AC221" i="9"/>
  <c r="AB221" i="9"/>
  <c r="AC213" i="9"/>
  <c r="AB213" i="9"/>
  <c r="AC205" i="9"/>
  <c r="AB205" i="9"/>
  <c r="AC197" i="9"/>
  <c r="AB197" i="9"/>
  <c r="AC189" i="9"/>
  <c r="AB189" i="9"/>
  <c r="AC181" i="9"/>
  <c r="AB181" i="9"/>
  <c r="AC173" i="9"/>
  <c r="AB173" i="9"/>
  <c r="AC165" i="9"/>
  <c r="AB165" i="9"/>
  <c r="AC157" i="9"/>
  <c r="AB157" i="9"/>
  <c r="AC149" i="9"/>
  <c r="AB149" i="9"/>
  <c r="AC141" i="9"/>
  <c r="AB141" i="9"/>
  <c r="AC133" i="9"/>
  <c r="AB133" i="9"/>
  <c r="AC125" i="9"/>
  <c r="AB125" i="9"/>
  <c r="AC117" i="9"/>
  <c r="AB117" i="9"/>
  <c r="AC109" i="9"/>
  <c r="AB109" i="9"/>
  <c r="AC101" i="9"/>
  <c r="AB101" i="9"/>
  <c r="I93" i="9"/>
  <c r="AA93" i="9" a="1"/>
  <c r="AA93" i="9" s="1"/>
  <c r="I85" i="9"/>
  <c r="AA85" i="9" a="1"/>
  <c r="AA85" i="9" s="1"/>
  <c r="I77" i="9"/>
  <c r="AA77" i="9" a="1"/>
  <c r="AA77" i="9" s="1"/>
  <c r="I69" i="9"/>
  <c r="AA69" i="9" a="1"/>
  <c r="AA69" i="9" s="1"/>
  <c r="I61" i="9"/>
  <c r="AA61" i="9" a="1"/>
  <c r="AA61" i="9" s="1"/>
  <c r="I53" i="9"/>
  <c r="AA53" i="9" a="1"/>
  <c r="AA53" i="9" s="1"/>
  <c r="I45" i="9"/>
  <c r="AA45" i="9" a="1"/>
  <c r="AA45" i="9" s="1"/>
  <c r="I37" i="9"/>
  <c r="AA37" i="9" a="1"/>
  <c r="AA37" i="9" s="1"/>
  <c r="I29" i="9"/>
  <c r="AA29" i="9" a="1"/>
  <c r="AA29" i="9" s="1"/>
  <c r="I21" i="9"/>
  <c r="AA21" i="9" a="1"/>
  <c r="AA21" i="9" s="1"/>
  <c r="I13" i="9"/>
  <c r="AA13" i="9" a="1"/>
  <c r="AA13" i="9" s="1"/>
  <c r="AC5" i="9"/>
  <c r="AB5" i="9"/>
  <c r="Z2" i="9"/>
  <c r="Z276" i="9"/>
  <c r="Z268" i="9"/>
  <c r="Z260" i="9"/>
  <c r="Z252" i="9"/>
  <c r="Z244" i="9"/>
  <c r="Z236" i="9"/>
  <c r="Z228" i="9"/>
  <c r="Z220" i="9"/>
  <c r="Z212" i="9"/>
  <c r="Z204" i="9"/>
  <c r="Z196" i="9"/>
  <c r="Z188" i="9"/>
  <c r="Z180" i="9"/>
  <c r="Z172" i="9"/>
  <c r="Z164" i="9"/>
  <c r="Z156" i="9"/>
  <c r="Z148" i="9"/>
  <c r="Z140" i="9"/>
  <c r="Z132" i="9"/>
  <c r="Z124" i="9"/>
  <c r="Z116" i="9"/>
  <c r="Z108" i="9"/>
  <c r="Z100" i="9"/>
  <c r="Z68" i="9"/>
  <c r="Z36" i="9"/>
  <c r="AA279" i="9" a="1"/>
  <c r="AA279" i="9" s="1"/>
  <c r="AA273" i="9" a="1"/>
  <c r="AA273" i="9" s="1"/>
  <c r="AA260" i="9" a="1"/>
  <c r="AA260" i="9" s="1"/>
  <c r="AA254" i="9" a="1"/>
  <c r="AA254" i="9" s="1"/>
  <c r="AA247" i="9" a="1"/>
  <c r="AA247" i="9" s="1"/>
  <c r="AA241" i="9" a="1"/>
  <c r="AA241" i="9" s="1"/>
  <c r="AA228" i="9" a="1"/>
  <c r="AA228" i="9" s="1"/>
  <c r="AA222" i="9" a="1"/>
  <c r="AA222" i="9" s="1"/>
  <c r="AA215" i="9" a="1"/>
  <c r="AA215" i="9" s="1"/>
  <c r="AA209" i="9" a="1"/>
  <c r="AA209" i="9" s="1"/>
  <c r="AA196" i="9" a="1"/>
  <c r="AA196" i="9" s="1"/>
  <c r="AA190" i="9" a="1"/>
  <c r="AA190" i="9" s="1"/>
  <c r="AA183" i="9" a="1"/>
  <c r="AA183" i="9" s="1"/>
  <c r="AA177" i="9" a="1"/>
  <c r="AA177" i="9" s="1"/>
  <c r="AA164" i="9" a="1"/>
  <c r="AA164" i="9" s="1"/>
  <c r="AA158" i="9" a="1"/>
  <c r="AA158" i="9" s="1"/>
  <c r="AA151" i="9" a="1"/>
  <c r="AA151" i="9" s="1"/>
  <c r="AA145" i="9" a="1"/>
  <c r="AA145" i="9" s="1"/>
  <c r="AA132" i="9" a="1"/>
  <c r="AA132" i="9" s="1"/>
  <c r="AA126" i="9" a="1"/>
  <c r="AA126" i="9" s="1"/>
  <c r="AA119" i="9" a="1"/>
  <c r="AA119" i="9" s="1"/>
  <c r="AA113" i="9" a="1"/>
  <c r="AA113" i="9" s="1"/>
  <c r="AA100" i="9" a="1"/>
  <c r="AA100" i="9" s="1"/>
  <c r="AA94" i="9" a="1"/>
  <c r="AA94" i="9" s="1"/>
  <c r="AB272" i="9"/>
  <c r="AB208" i="9"/>
  <c r="AB144" i="9"/>
  <c r="AC234" i="9"/>
  <c r="AC170" i="9"/>
  <c r="AC106" i="9"/>
  <c r="I64" i="9"/>
  <c r="AA64" i="9" a="1"/>
  <c r="AA64" i="9" s="1"/>
  <c r="AA160" i="9" a="1"/>
  <c r="AA160" i="9" s="1"/>
  <c r="AA128" i="9" a="1"/>
  <c r="AA128" i="9" s="1"/>
  <c r="AC263" i="9"/>
  <c r="AB263" i="9"/>
  <c r="AC223" i="9"/>
  <c r="AB223" i="9"/>
  <c r="AC2" i="9"/>
  <c r="AB2" i="9"/>
  <c r="AC276" i="9"/>
  <c r="AB276" i="9"/>
  <c r="AC268" i="9"/>
  <c r="AB268" i="9"/>
  <c r="AC260" i="9"/>
  <c r="AB260" i="9"/>
  <c r="AC252" i="9"/>
  <c r="AB252" i="9"/>
  <c r="AC244" i="9"/>
  <c r="AB244" i="9"/>
  <c r="AC236" i="9"/>
  <c r="AB236" i="9"/>
  <c r="AC228" i="9"/>
  <c r="AB228" i="9"/>
  <c r="AC220" i="9"/>
  <c r="AB220" i="9"/>
  <c r="AC212" i="9"/>
  <c r="AB212" i="9"/>
  <c r="AC204" i="9"/>
  <c r="AB204" i="9"/>
  <c r="AC196" i="9"/>
  <c r="AB196" i="9"/>
  <c r="AC188" i="9"/>
  <c r="AB188" i="9"/>
  <c r="AC180" i="9"/>
  <c r="AB180" i="9"/>
  <c r="AC172" i="9"/>
  <c r="AB172" i="9"/>
  <c r="AC164" i="9"/>
  <c r="AB164" i="9"/>
  <c r="AC156" i="9"/>
  <c r="AB156" i="9"/>
  <c r="AC148" i="9"/>
  <c r="AB148" i="9"/>
  <c r="AC140" i="9"/>
  <c r="AB140" i="9"/>
  <c r="AC132" i="9"/>
  <c r="AB132" i="9"/>
  <c r="AC124" i="9"/>
  <c r="AB124" i="9"/>
  <c r="AC116" i="9"/>
  <c r="AB116" i="9"/>
  <c r="AC108" i="9"/>
  <c r="AB108" i="9"/>
  <c r="AC100" i="9"/>
  <c r="AB100" i="9"/>
  <c r="I92" i="9"/>
  <c r="AA92" i="9" a="1"/>
  <c r="AA92" i="9" s="1"/>
  <c r="I84" i="9"/>
  <c r="AA84" i="9" a="1"/>
  <c r="AA84" i="9" s="1"/>
  <c r="I76" i="9"/>
  <c r="AA76" i="9" a="1"/>
  <c r="AA76" i="9" s="1"/>
  <c r="AC68" i="9"/>
  <c r="AB68" i="9"/>
  <c r="I60" i="9"/>
  <c r="AA60" i="9" a="1"/>
  <c r="AA60" i="9" s="1"/>
  <c r="I52" i="9"/>
  <c r="AA52" i="9" a="1"/>
  <c r="AA52" i="9" s="1"/>
  <c r="I44" i="9"/>
  <c r="AA44" i="9" a="1"/>
  <c r="AA44" i="9" s="1"/>
  <c r="AC36" i="9"/>
  <c r="AB36" i="9"/>
  <c r="I28" i="9"/>
  <c r="AA28" i="9" a="1"/>
  <c r="AA28" i="9" s="1"/>
  <c r="I20" i="9"/>
  <c r="AA20" i="9" a="1"/>
  <c r="AA20" i="9" s="1"/>
  <c r="I12" i="9"/>
  <c r="AA12" i="9" a="1"/>
  <c r="AA12" i="9" s="1"/>
  <c r="I4" i="9"/>
  <c r="AA4" i="9" a="1"/>
  <c r="AA4" i="9" s="1"/>
  <c r="Z283" i="9"/>
  <c r="Z275" i="9"/>
  <c r="Z267" i="9"/>
  <c r="Z259" i="9"/>
  <c r="Z251" i="9"/>
  <c r="Z243" i="9"/>
  <c r="Z235" i="9"/>
  <c r="Z227" i="9"/>
  <c r="Z219" i="9"/>
  <c r="Z211" i="9"/>
  <c r="Z203" i="9"/>
  <c r="Z195" i="9"/>
  <c r="Z187" i="9"/>
  <c r="Z179" i="9"/>
  <c r="Z171" i="9"/>
  <c r="Z163" i="9"/>
  <c r="Z155" i="9"/>
  <c r="Z147" i="9"/>
  <c r="Z139" i="9"/>
  <c r="Z131" i="9"/>
  <c r="Z123" i="9"/>
  <c r="Z115" i="9"/>
  <c r="Z107" i="9"/>
  <c r="Z99" i="9"/>
  <c r="AA272" i="9" a="1"/>
  <c r="AA272" i="9" s="1"/>
  <c r="AA266" i="9" a="1"/>
  <c r="AA266" i="9" s="1"/>
  <c r="AA259" i="9" a="1"/>
  <c r="AA259" i="9" s="1"/>
  <c r="AA253" i="9" a="1"/>
  <c r="AA253" i="9" s="1"/>
  <c r="AA240" i="9" a="1"/>
  <c r="AA240" i="9" s="1"/>
  <c r="AA234" i="9" a="1"/>
  <c r="AA234" i="9" s="1"/>
  <c r="AA227" i="9" a="1"/>
  <c r="AA227" i="9" s="1"/>
  <c r="AA221" i="9" a="1"/>
  <c r="AA221" i="9" s="1"/>
  <c r="AA208" i="9" a="1"/>
  <c r="AA208" i="9" s="1"/>
  <c r="AA202" i="9" a="1"/>
  <c r="AA202" i="9" s="1"/>
  <c r="AA195" i="9" a="1"/>
  <c r="AA195" i="9" s="1"/>
  <c r="AA189" i="9" a="1"/>
  <c r="AA189" i="9" s="1"/>
  <c r="AA176" i="9" a="1"/>
  <c r="AA176" i="9" s="1"/>
  <c r="AA170" i="9" a="1"/>
  <c r="AA170" i="9" s="1"/>
  <c r="AA163" i="9" a="1"/>
  <c r="AA163" i="9" s="1"/>
  <c r="AA157" i="9" a="1"/>
  <c r="AA157" i="9" s="1"/>
  <c r="AA144" i="9" a="1"/>
  <c r="AA144" i="9" s="1"/>
  <c r="AA138" i="9" a="1"/>
  <c r="AA138" i="9" s="1"/>
  <c r="AA131" i="9" a="1"/>
  <c r="AA131" i="9" s="1"/>
  <c r="AA125" i="9" a="1"/>
  <c r="AA125" i="9" s="1"/>
  <c r="AA112" i="9" a="1"/>
  <c r="AA112" i="9" s="1"/>
  <c r="AA106" i="9" a="1"/>
  <c r="AA106" i="9" s="1"/>
  <c r="AA99" i="9" a="1"/>
  <c r="AA99" i="9" s="1"/>
  <c r="AA87" i="9" a="1"/>
  <c r="AA87" i="9" s="1"/>
  <c r="AA36" i="9" a="1"/>
  <c r="AA36" i="9" s="1"/>
  <c r="AB264" i="9"/>
  <c r="AB200" i="9"/>
  <c r="AB136" i="9"/>
  <c r="AC226" i="9"/>
  <c r="AC162" i="9"/>
  <c r="AC98" i="9"/>
  <c r="I56" i="9"/>
  <c r="AA56" i="9" a="1"/>
  <c r="AA56" i="9" s="1"/>
  <c r="AB232" i="9"/>
  <c r="AB168" i="9"/>
  <c r="AB104" i="9"/>
  <c r="AC258" i="9"/>
  <c r="AC279" i="9"/>
  <c r="AB279" i="9"/>
  <c r="AC239" i="9"/>
  <c r="AB239" i="9"/>
  <c r="AC283" i="9"/>
  <c r="AB283" i="9"/>
  <c r="AC275" i="9"/>
  <c r="AB275" i="9"/>
  <c r="AC267" i="9"/>
  <c r="AB267" i="9"/>
  <c r="AC259" i="9"/>
  <c r="AB259" i="9"/>
  <c r="AC251" i="9"/>
  <c r="AB251" i="9"/>
  <c r="AC243" i="9"/>
  <c r="AB243" i="9"/>
  <c r="AC235" i="9"/>
  <c r="AB235" i="9"/>
  <c r="AC227" i="9"/>
  <c r="AB227" i="9"/>
  <c r="AC219" i="9"/>
  <c r="AB219" i="9"/>
  <c r="AC211" i="9"/>
  <c r="AB211" i="9"/>
  <c r="AC203" i="9"/>
  <c r="AB203" i="9"/>
  <c r="AC195" i="9"/>
  <c r="AB195" i="9"/>
  <c r="AC187" i="9"/>
  <c r="AB187" i="9"/>
  <c r="AC179" i="9"/>
  <c r="AB179" i="9"/>
  <c r="AC171" i="9"/>
  <c r="AB171" i="9"/>
  <c r="AC163" i="9"/>
  <c r="AB163" i="9"/>
  <c r="AC155" i="9"/>
  <c r="AB155" i="9"/>
  <c r="AC147" i="9"/>
  <c r="AB147" i="9"/>
  <c r="AC139" i="9"/>
  <c r="AB139" i="9"/>
  <c r="AC131" i="9"/>
  <c r="AB131" i="9"/>
  <c r="AC123" i="9"/>
  <c r="AB123" i="9"/>
  <c r="AC115" i="9"/>
  <c r="AB115" i="9"/>
  <c r="AC107" i="9"/>
  <c r="AB107" i="9"/>
  <c r="AC99" i="9"/>
  <c r="AB99" i="9"/>
  <c r="I91" i="9"/>
  <c r="AA91" i="9" a="1"/>
  <c r="AA91" i="9" s="1"/>
  <c r="I83" i="9"/>
  <c r="AA83" i="9" a="1"/>
  <c r="AA83" i="9" s="1"/>
  <c r="I75" i="9"/>
  <c r="AA75" i="9" a="1"/>
  <c r="AA75" i="9" s="1"/>
  <c r="I67" i="9"/>
  <c r="AA67" i="9" a="1"/>
  <c r="AA67" i="9" s="1"/>
  <c r="I59" i="9"/>
  <c r="AA59" i="9" a="1"/>
  <c r="AA59" i="9" s="1"/>
  <c r="I51" i="9"/>
  <c r="AA51" i="9" a="1"/>
  <c r="AA51" i="9" s="1"/>
  <c r="I43" i="9"/>
  <c r="AA43" i="9" a="1"/>
  <c r="AA43" i="9" s="1"/>
  <c r="I35" i="9"/>
  <c r="AA35" i="9" a="1"/>
  <c r="AA35" i="9" s="1"/>
  <c r="I27" i="9"/>
  <c r="AA27" i="9" a="1"/>
  <c r="AA27" i="9" s="1"/>
  <c r="I19" i="9"/>
  <c r="AA19" i="9" a="1"/>
  <c r="AA19" i="9" s="1"/>
  <c r="I11" i="9"/>
  <c r="AA11" i="9" a="1"/>
  <c r="AA11" i="9" s="1"/>
  <c r="I3" i="9"/>
  <c r="AA3" i="9" a="1"/>
  <c r="AA3" i="9" s="1"/>
  <c r="Z282" i="9"/>
  <c r="Z274" i="9"/>
  <c r="Z266" i="9"/>
  <c r="Z258" i="9"/>
  <c r="Z250" i="9"/>
  <c r="Z242" i="9"/>
  <c r="Z234" i="9"/>
  <c r="Z226" i="9"/>
  <c r="Z218" i="9"/>
  <c r="Z210" i="9"/>
  <c r="Z202" i="9"/>
  <c r="Z194" i="9"/>
  <c r="Z186" i="9"/>
  <c r="Z178" i="9"/>
  <c r="Z170" i="9"/>
  <c r="Z162" i="9"/>
  <c r="Z154" i="9"/>
  <c r="Z146" i="9"/>
  <c r="Z138" i="9"/>
  <c r="Z130" i="9"/>
  <c r="Z122" i="9"/>
  <c r="Z114" i="9"/>
  <c r="Z106" i="9"/>
  <c r="Z98" i="9"/>
  <c r="AA2" i="9" a="1"/>
  <c r="AA2" i="9" s="1"/>
  <c r="AA278" i="9" a="1"/>
  <c r="AA278" i="9" s="1"/>
  <c r="AA271" i="9" a="1"/>
  <c r="AA271" i="9" s="1"/>
  <c r="AA265" i="9" a="1"/>
  <c r="AA265" i="9" s="1"/>
  <c r="AA252" i="9" a="1"/>
  <c r="AA252" i="9" s="1"/>
  <c r="AA246" i="9" a="1"/>
  <c r="AA246" i="9" s="1"/>
  <c r="AA239" i="9" a="1"/>
  <c r="AA239" i="9" s="1"/>
  <c r="AA233" i="9" a="1"/>
  <c r="AA233" i="9" s="1"/>
  <c r="AA220" i="9" a="1"/>
  <c r="AA220" i="9" s="1"/>
  <c r="AA214" i="9" a="1"/>
  <c r="AA214" i="9" s="1"/>
  <c r="AA207" i="9" a="1"/>
  <c r="AA207" i="9" s="1"/>
  <c r="AA201" i="9" a="1"/>
  <c r="AA201" i="9" s="1"/>
  <c r="AA188" i="9" a="1"/>
  <c r="AA188" i="9" s="1"/>
  <c r="AA182" i="9" a="1"/>
  <c r="AA182" i="9" s="1"/>
  <c r="AA175" i="9" a="1"/>
  <c r="AA175" i="9" s="1"/>
  <c r="AA169" i="9" a="1"/>
  <c r="AA169" i="9" s="1"/>
  <c r="AA156" i="9" a="1"/>
  <c r="AA156" i="9" s="1"/>
  <c r="AA150" i="9" a="1"/>
  <c r="AA150" i="9" s="1"/>
  <c r="AA143" i="9" a="1"/>
  <c r="AA143" i="9" s="1"/>
  <c r="AA137" i="9" a="1"/>
  <c r="AA137" i="9" s="1"/>
  <c r="AA124" i="9" a="1"/>
  <c r="AA124" i="9" s="1"/>
  <c r="AA118" i="9" a="1"/>
  <c r="AA118" i="9" s="1"/>
  <c r="AA111" i="9" a="1"/>
  <c r="AA111" i="9" s="1"/>
  <c r="AA105" i="9" a="1"/>
  <c r="AA105" i="9" s="1"/>
  <c r="AA81" i="9" a="1"/>
  <c r="AA81" i="9" s="1"/>
  <c r="AA30" i="9" a="1"/>
  <c r="AA30" i="9" s="1"/>
  <c r="AB256" i="9"/>
  <c r="AB192" i="9"/>
  <c r="AB128" i="9"/>
  <c r="AC282" i="9"/>
  <c r="AC218" i="9"/>
  <c r="AC154" i="9"/>
  <c r="W2" i="9"/>
  <c r="I90" i="9"/>
  <c r="AA90" i="9" a="1"/>
  <c r="AA90" i="9" s="1"/>
  <c r="I82" i="9"/>
  <c r="AA82" i="9" a="1"/>
  <c r="AA82" i="9" s="1"/>
  <c r="I74" i="9"/>
  <c r="AA74" i="9" a="1"/>
  <c r="AA74" i="9" s="1"/>
  <c r="I66" i="9"/>
  <c r="AA66" i="9" a="1"/>
  <c r="AA66" i="9" s="1"/>
  <c r="I58" i="9"/>
  <c r="AA58" i="9" a="1"/>
  <c r="AA58" i="9" s="1"/>
  <c r="I50" i="9"/>
  <c r="AA50" i="9" a="1"/>
  <c r="AA50" i="9" s="1"/>
  <c r="I42" i="9"/>
  <c r="AA42" i="9" a="1"/>
  <c r="AA42" i="9" s="1"/>
  <c r="I34" i="9"/>
  <c r="AA34" i="9" a="1"/>
  <c r="AA34" i="9" s="1"/>
  <c r="I26" i="9"/>
  <c r="AA26" i="9" a="1"/>
  <c r="AA26" i="9" s="1"/>
  <c r="I18" i="9"/>
  <c r="AA18" i="9" a="1"/>
  <c r="AA18" i="9" s="1"/>
  <c r="I10" i="9"/>
  <c r="AA10" i="9" a="1"/>
  <c r="AA10" i="9" s="1"/>
  <c r="Z281" i="9"/>
  <c r="Z273" i="9"/>
  <c r="Z265" i="9"/>
  <c r="Z257" i="9"/>
  <c r="Z249" i="9"/>
  <c r="Z241" i="9"/>
  <c r="Z233" i="9"/>
  <c r="Z225" i="9"/>
  <c r="Z217" i="9"/>
  <c r="Z209" i="9"/>
  <c r="Z201" i="9"/>
  <c r="Z193" i="9"/>
  <c r="Z185" i="9"/>
  <c r="Z177" i="9"/>
  <c r="Z169" i="9"/>
  <c r="Z161" i="9"/>
  <c r="Z153" i="9"/>
  <c r="Z145" i="9"/>
  <c r="Z137" i="9"/>
  <c r="Z129" i="9"/>
  <c r="Z121" i="9"/>
  <c r="Z113" i="9"/>
  <c r="Z105" i="9"/>
  <c r="Z97" i="9"/>
  <c r="Z81" i="9"/>
  <c r="Z49" i="9"/>
  <c r="Z17" i="9"/>
  <c r="AA283" i="9" a="1"/>
  <c r="AA283" i="9" s="1"/>
  <c r="AA277" i="9" a="1"/>
  <c r="AA277" i="9" s="1"/>
  <c r="AA264" i="9" a="1"/>
  <c r="AA264" i="9" s="1"/>
  <c r="AA258" i="9" a="1"/>
  <c r="AA258" i="9" s="1"/>
  <c r="AA251" i="9" a="1"/>
  <c r="AA251" i="9" s="1"/>
  <c r="AA245" i="9" a="1"/>
  <c r="AA245" i="9" s="1"/>
  <c r="AA232" i="9" a="1"/>
  <c r="AA232" i="9" s="1"/>
  <c r="AA226" i="9" a="1"/>
  <c r="AA226" i="9" s="1"/>
  <c r="AA219" i="9" a="1"/>
  <c r="AA219" i="9" s="1"/>
  <c r="AA213" i="9" a="1"/>
  <c r="AA213" i="9" s="1"/>
  <c r="AA200" i="9" a="1"/>
  <c r="AA200" i="9" s="1"/>
  <c r="AA194" i="9" a="1"/>
  <c r="AA194" i="9" s="1"/>
  <c r="AA187" i="9" a="1"/>
  <c r="AA187" i="9" s="1"/>
  <c r="AA181" i="9" a="1"/>
  <c r="AA181" i="9" s="1"/>
  <c r="AA168" i="9" a="1"/>
  <c r="AA168" i="9" s="1"/>
  <c r="AA162" i="9" a="1"/>
  <c r="AA162" i="9" s="1"/>
  <c r="AA155" i="9" a="1"/>
  <c r="AA155" i="9" s="1"/>
  <c r="AA149" i="9" a="1"/>
  <c r="AA149" i="9" s="1"/>
  <c r="AA136" i="9" a="1"/>
  <c r="AA136" i="9" s="1"/>
  <c r="AA130" i="9" a="1"/>
  <c r="AA130" i="9" s="1"/>
  <c r="AA123" i="9" a="1"/>
  <c r="AA123" i="9" s="1"/>
  <c r="AA117" i="9" a="1"/>
  <c r="AA117" i="9" s="1"/>
  <c r="AA104" i="9" a="1"/>
  <c r="AA104" i="9" s="1"/>
  <c r="AA98" i="9" a="1"/>
  <c r="AA98" i="9" s="1"/>
  <c r="AA23" i="9" a="1"/>
  <c r="AA23" i="9" s="1"/>
  <c r="AB248" i="9"/>
  <c r="AB184" i="9"/>
  <c r="AB120" i="9"/>
  <c r="AC274" i="9"/>
  <c r="AC210" i="9"/>
  <c r="AC146" i="9"/>
  <c r="I80" i="9"/>
  <c r="AA80" i="9" a="1"/>
  <c r="AA80" i="9" s="1"/>
  <c r="I32" i="9"/>
  <c r="AA32" i="9" a="1"/>
  <c r="AA32" i="9" s="1"/>
  <c r="AA256" i="9" a="1"/>
  <c r="AA256" i="9" s="1"/>
  <c r="AB281" i="9"/>
  <c r="AC281" i="9"/>
  <c r="AB273" i="9"/>
  <c r="AC273" i="9"/>
  <c r="AB265" i="9"/>
  <c r="AC265" i="9"/>
  <c r="AB257" i="9"/>
  <c r="AC257" i="9"/>
  <c r="AB249" i="9"/>
  <c r="AC249" i="9"/>
  <c r="AB241" i="9"/>
  <c r="AC241" i="9"/>
  <c r="AB233" i="9"/>
  <c r="AC233" i="9"/>
  <c r="AB225" i="9"/>
  <c r="AC225" i="9"/>
  <c r="AB217" i="9"/>
  <c r="AC217" i="9"/>
  <c r="AB209" i="9"/>
  <c r="AC209" i="9"/>
  <c r="AB201" i="9"/>
  <c r="AC201" i="9"/>
  <c r="AB193" i="9"/>
  <c r="AC193" i="9"/>
  <c r="AB185" i="9"/>
  <c r="AC185" i="9"/>
  <c r="AB177" i="9"/>
  <c r="AC177" i="9"/>
  <c r="AB169" i="9"/>
  <c r="AC169" i="9"/>
  <c r="AB161" i="9"/>
  <c r="AC161" i="9"/>
  <c r="AB153" i="9"/>
  <c r="AC153" i="9"/>
  <c r="AB145" i="9"/>
  <c r="AC145" i="9"/>
  <c r="AB137" i="9"/>
  <c r="AC137" i="9"/>
  <c r="AB129" i="9"/>
  <c r="AC129" i="9"/>
  <c r="AB121" i="9"/>
  <c r="AC121" i="9"/>
  <c r="AB113" i="9"/>
  <c r="AC113" i="9"/>
  <c r="AB105" i="9"/>
  <c r="AC105" i="9"/>
  <c r="AB97" i="9"/>
  <c r="AC97" i="9"/>
  <c r="I89" i="9"/>
  <c r="AA89" i="9" a="1"/>
  <c r="AA89" i="9" s="1"/>
  <c r="AB81" i="9"/>
  <c r="AC81" i="9"/>
  <c r="I73" i="9"/>
  <c r="AA73" i="9" a="1"/>
  <c r="AA73" i="9" s="1"/>
  <c r="I65" i="9"/>
  <c r="AA65" i="9" a="1"/>
  <c r="AA65" i="9" s="1"/>
  <c r="I57" i="9"/>
  <c r="AA57" i="9" a="1"/>
  <c r="AA57" i="9" s="1"/>
  <c r="AB49" i="9"/>
  <c r="AC49" i="9"/>
  <c r="I41" i="9"/>
  <c r="AA41" i="9" a="1"/>
  <c r="AA41" i="9" s="1"/>
  <c r="I33" i="9"/>
  <c r="AA33" i="9" a="1"/>
  <c r="AA33" i="9" s="1"/>
  <c r="I25" i="9"/>
  <c r="AA25" i="9" a="1"/>
  <c r="AA25" i="9" s="1"/>
  <c r="AB17" i="9"/>
  <c r="AC17" i="9"/>
  <c r="I9" i="9"/>
  <c r="AA9" i="9" a="1"/>
  <c r="AA9" i="9" s="1"/>
  <c r="Z280" i="9"/>
  <c r="Z272" i="9"/>
  <c r="Z264" i="9"/>
  <c r="Z256" i="9"/>
  <c r="Z248" i="9"/>
  <c r="Z240" i="9"/>
  <c r="Z232" i="9"/>
  <c r="Z224" i="9"/>
  <c r="Z216" i="9"/>
  <c r="Z208" i="9"/>
  <c r="Z200" i="9"/>
  <c r="Z192" i="9"/>
  <c r="Z184" i="9"/>
  <c r="Z176" i="9"/>
  <c r="Z168" i="9"/>
  <c r="Z160" i="9"/>
  <c r="Z152" i="9"/>
  <c r="Z144" i="9"/>
  <c r="Z136" i="9"/>
  <c r="Z128" i="9"/>
  <c r="Z120" i="9"/>
  <c r="Z112" i="9"/>
  <c r="Z104" i="9"/>
  <c r="Z96" i="9"/>
  <c r="Z88" i="9"/>
  <c r="Z80" i="9"/>
  <c r="Z72" i="9"/>
  <c r="Z64" i="9"/>
  <c r="Z56" i="9"/>
  <c r="Z48" i="9"/>
  <c r="Z40" i="9"/>
  <c r="Z32" i="9"/>
  <c r="Z24" i="9"/>
  <c r="Z16" i="9"/>
  <c r="Z8" i="9"/>
  <c r="AA276" i="9" a="1"/>
  <c r="AA276" i="9" s="1"/>
  <c r="AA270" i="9" a="1"/>
  <c r="AA270" i="9" s="1"/>
  <c r="AA263" i="9" a="1"/>
  <c r="AA263" i="9" s="1"/>
  <c r="AA257" i="9" a="1"/>
  <c r="AA257" i="9" s="1"/>
  <c r="AA244" i="9" a="1"/>
  <c r="AA244" i="9" s="1"/>
  <c r="AA238" i="9" a="1"/>
  <c r="AA238" i="9" s="1"/>
  <c r="AA231" i="9" a="1"/>
  <c r="AA231" i="9" s="1"/>
  <c r="AA225" i="9" a="1"/>
  <c r="AA225" i="9" s="1"/>
  <c r="AA212" i="9" a="1"/>
  <c r="AA212" i="9" s="1"/>
  <c r="AA206" i="9" a="1"/>
  <c r="AA206" i="9" s="1"/>
  <c r="AA199" i="9" a="1"/>
  <c r="AA199" i="9" s="1"/>
  <c r="AA193" i="9" a="1"/>
  <c r="AA193" i="9" s="1"/>
  <c r="AA180" i="9" a="1"/>
  <c r="AA180" i="9" s="1"/>
  <c r="AA174" i="9" a="1"/>
  <c r="AA174" i="9" s="1"/>
  <c r="AA167" i="9" a="1"/>
  <c r="AA167" i="9" s="1"/>
  <c r="AA161" i="9" a="1"/>
  <c r="AA161" i="9" s="1"/>
  <c r="AA148" i="9" a="1"/>
  <c r="AA148" i="9" s="1"/>
  <c r="AA142" i="9" a="1"/>
  <c r="AA142" i="9" s="1"/>
  <c r="AA135" i="9" a="1"/>
  <c r="AA135" i="9" s="1"/>
  <c r="AA129" i="9" a="1"/>
  <c r="AA129" i="9" s="1"/>
  <c r="AA116" i="9" a="1"/>
  <c r="AA116" i="9" s="1"/>
  <c r="AA110" i="9" a="1"/>
  <c r="AA110" i="9" s="1"/>
  <c r="AA103" i="9" a="1"/>
  <c r="AA103" i="9" s="1"/>
  <c r="AA97" i="9" a="1"/>
  <c r="AA97" i="9" s="1"/>
  <c r="AA68" i="9" a="1"/>
  <c r="AA68" i="9" s="1"/>
  <c r="AA17" i="9" a="1"/>
  <c r="AA17" i="9" s="1"/>
  <c r="AB240" i="9"/>
  <c r="AB176" i="9"/>
  <c r="AB112" i="9"/>
  <c r="AC266" i="9"/>
  <c r="AC202" i="9"/>
  <c r="AC138" i="9"/>
  <c r="R2" i="9"/>
  <c r="S2" i="9"/>
  <c r="T2" i="9"/>
  <c r="U2" i="9"/>
  <c r="V2" i="9"/>
  <c r="P2" i="9"/>
  <c r="Q2" i="9" s="1"/>
  <c r="AC59" i="9" l="1"/>
  <c r="AB59" i="9"/>
  <c r="AB34" i="9"/>
  <c r="AC34" i="9"/>
  <c r="AB66" i="9"/>
  <c r="AC66" i="9"/>
  <c r="AC28" i="9"/>
  <c r="AB28" i="9"/>
  <c r="AC60" i="9"/>
  <c r="AB60" i="9"/>
  <c r="AC92" i="9"/>
  <c r="AB92" i="9"/>
  <c r="AC64" i="9"/>
  <c r="AB64" i="9"/>
  <c r="AC29" i="9"/>
  <c r="AB29" i="9"/>
  <c r="AC61" i="9"/>
  <c r="AB61" i="9"/>
  <c r="AC93" i="9"/>
  <c r="AB93" i="9"/>
  <c r="AC14" i="9"/>
  <c r="AB14" i="9"/>
  <c r="AC46" i="9"/>
  <c r="AB46" i="9"/>
  <c r="AC78" i="9"/>
  <c r="AB78" i="9"/>
  <c r="AC7" i="9"/>
  <c r="AB7" i="9"/>
  <c r="AC39" i="9"/>
  <c r="AB39" i="9"/>
  <c r="AC71" i="9"/>
  <c r="AB71" i="9"/>
  <c r="AB25" i="9"/>
  <c r="AC25" i="9"/>
  <c r="AB57" i="9"/>
  <c r="AC57" i="9"/>
  <c r="AB89" i="9"/>
  <c r="AC89" i="9"/>
  <c r="AC3" i="9"/>
  <c r="AB3" i="9"/>
  <c r="AC35" i="9"/>
  <c r="AB35" i="9"/>
  <c r="AC67" i="9"/>
  <c r="AB67" i="9"/>
  <c r="AC56" i="9"/>
  <c r="AB56" i="9"/>
  <c r="AC8" i="9"/>
  <c r="AB8" i="9"/>
  <c r="AC91" i="9"/>
  <c r="AB91" i="9"/>
  <c r="AB10" i="9"/>
  <c r="AC10" i="9"/>
  <c r="AB42" i="9"/>
  <c r="AC42" i="9"/>
  <c r="AB74" i="9"/>
  <c r="AC74" i="9"/>
  <c r="AC4" i="9"/>
  <c r="AB4" i="9"/>
  <c r="AC37" i="9"/>
  <c r="AB37" i="9"/>
  <c r="AC69" i="9"/>
  <c r="AB69" i="9"/>
  <c r="AC16" i="9"/>
  <c r="AB16" i="9"/>
  <c r="AC22" i="9"/>
  <c r="AB22" i="9"/>
  <c r="AC54" i="9"/>
  <c r="AB54" i="9"/>
  <c r="AC86" i="9"/>
  <c r="AB86" i="9"/>
  <c r="AC24" i="9"/>
  <c r="AB24" i="9"/>
  <c r="AC15" i="9"/>
  <c r="AB15" i="9"/>
  <c r="AC47" i="9"/>
  <c r="AB47" i="9"/>
  <c r="AC79" i="9"/>
  <c r="AB79" i="9"/>
  <c r="AC27" i="9"/>
  <c r="AB27" i="9"/>
  <c r="AB33" i="9"/>
  <c r="AC33" i="9"/>
  <c r="AB65" i="9"/>
  <c r="AC65" i="9"/>
  <c r="AC11" i="9"/>
  <c r="AB11" i="9"/>
  <c r="AC43" i="9"/>
  <c r="AB43" i="9"/>
  <c r="AC75" i="9"/>
  <c r="AB75" i="9"/>
  <c r="AC40" i="9"/>
  <c r="AB40" i="9"/>
  <c r="AC72" i="9"/>
  <c r="AB72" i="9"/>
  <c r="AC32" i="9"/>
  <c r="AB32" i="9"/>
  <c r="AB18" i="9"/>
  <c r="AC18" i="9"/>
  <c r="AB82" i="9"/>
  <c r="AC82" i="9"/>
  <c r="AC12" i="9"/>
  <c r="AB12" i="9"/>
  <c r="AC76" i="9"/>
  <c r="AB76" i="9"/>
  <c r="AC13" i="9"/>
  <c r="AB13" i="9"/>
  <c r="AC77" i="9"/>
  <c r="AB77" i="9"/>
  <c r="AC48" i="9"/>
  <c r="AB48" i="9"/>
  <c r="AB9" i="9"/>
  <c r="AC9" i="9"/>
  <c r="AB41" i="9"/>
  <c r="AC41" i="9"/>
  <c r="AB73" i="9"/>
  <c r="AC73" i="9"/>
  <c r="AC19" i="9"/>
  <c r="AB19" i="9"/>
  <c r="AC51" i="9"/>
  <c r="AB51" i="9"/>
  <c r="AC83" i="9"/>
  <c r="AB83" i="9"/>
  <c r="AC88" i="9"/>
  <c r="AB88" i="9"/>
  <c r="AB50" i="9"/>
  <c r="AC50" i="9"/>
  <c r="AC44" i="9"/>
  <c r="AB44" i="9"/>
  <c r="AC45" i="9"/>
  <c r="AB45" i="9"/>
  <c r="AC80" i="9"/>
  <c r="AB80" i="9"/>
  <c r="AB26" i="9"/>
  <c r="AC26" i="9"/>
  <c r="AB58" i="9"/>
  <c r="AC58" i="9"/>
  <c r="AB90" i="9"/>
  <c r="AC90" i="9"/>
  <c r="AC20" i="9"/>
  <c r="AB20" i="9"/>
  <c r="AC52" i="9"/>
  <c r="AB52" i="9"/>
  <c r="AC84" i="9"/>
  <c r="AB84" i="9"/>
  <c r="AC21" i="9"/>
  <c r="AB21" i="9"/>
  <c r="AC53" i="9"/>
  <c r="AB53" i="9"/>
  <c r="AC85" i="9"/>
  <c r="AB85" i="9"/>
  <c r="AC6" i="9"/>
  <c r="AB6" i="9"/>
  <c r="AC38" i="9"/>
  <c r="AB38" i="9"/>
  <c r="AC70" i="9"/>
  <c r="AB70" i="9"/>
  <c r="AC31" i="9"/>
  <c r="AB31" i="9"/>
  <c r="AC63" i="9"/>
  <c r="AB63" i="9"/>
  <c r="X2"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<sst xmlns="http://schemas.openxmlformats.org/spreadsheetml/2006/main" count="3519" uniqueCount="390">
  <si>
    <t>User_ID</t>
  </si>
  <si>
    <t>Usage_Date</t>
  </si>
  <si>
    <t>Region</t>
  </si>
  <si>
    <t>Data_Usage_GB</t>
  </si>
  <si>
    <t>Session_Hours</t>
  </si>
  <si>
    <t>Mogadishu</t>
  </si>
  <si>
    <t>Business</t>
  </si>
  <si>
    <t>Garowe</t>
  </si>
  <si>
    <t>Basic</t>
  </si>
  <si>
    <t>Baidoa</t>
  </si>
  <si>
    <t>USR00168</t>
  </si>
  <si>
    <t>USR00033</t>
  </si>
  <si>
    <t>Standard</t>
  </si>
  <si>
    <t>USR00200</t>
  </si>
  <si>
    <t>Kismayo</t>
  </si>
  <si>
    <t>Premium</t>
  </si>
  <si>
    <t>USR00265</t>
  </si>
  <si>
    <t>USR00165</t>
  </si>
  <si>
    <t>USR00071</t>
  </si>
  <si>
    <t>Hargeisa</t>
  </si>
  <si>
    <t>USR00099</t>
  </si>
  <si>
    <t>Bosaso</t>
  </si>
  <si>
    <t>USR00054</t>
  </si>
  <si>
    <t>USR00116</t>
  </si>
  <si>
    <t>USR00239</t>
  </si>
  <si>
    <t>USR00102</t>
  </si>
  <si>
    <t>USR00074</t>
  </si>
  <si>
    <t>USR00050</t>
  </si>
  <si>
    <t>USR00286</t>
  </si>
  <si>
    <t>USR00202</t>
  </si>
  <si>
    <t>USR00173</t>
  </si>
  <si>
    <t>USR00246</t>
  </si>
  <si>
    <t>USR00015</t>
  </si>
  <si>
    <t>USR00248</t>
  </si>
  <si>
    <t>USR00043</t>
  </si>
  <si>
    <t>USR00113</t>
  </si>
  <si>
    <t>USR00083</t>
  </si>
  <si>
    <t>USR00034</t>
  </si>
  <si>
    <t>USR00014</t>
  </si>
  <si>
    <t>USR00242</t>
  </si>
  <si>
    <t>USR00188</t>
  </si>
  <si>
    <t>USR00006</t>
  </si>
  <si>
    <t>USR00171</t>
  </si>
  <si>
    <t>USR00217</t>
  </si>
  <si>
    <t>USR00053</t>
  </si>
  <si>
    <t>USR00076</t>
  </si>
  <si>
    <t>USR00130</t>
  </si>
  <si>
    <t>USR00151</t>
  </si>
  <si>
    <t>USR00062</t>
  </si>
  <si>
    <t>USR00266</t>
  </si>
  <si>
    <t>USR00274</t>
  </si>
  <si>
    <t>USR00153</t>
  </si>
  <si>
    <t>USR00095</t>
  </si>
  <si>
    <t>USR00025</t>
  </si>
  <si>
    <t>USR00010</t>
  </si>
  <si>
    <t>USR00031</t>
  </si>
  <si>
    <t>USR00278</t>
  </si>
  <si>
    <t>USR00077</t>
  </si>
  <si>
    <t>USR00289</t>
  </si>
  <si>
    <t>USR00129</t>
  </si>
  <si>
    <t>USR00227</t>
  </si>
  <si>
    <t>USR00184</t>
  </si>
  <si>
    <t>USR00252</t>
  </si>
  <si>
    <t>USR00098</t>
  </si>
  <si>
    <t>USR00005</t>
  </si>
  <si>
    <t>USR00067</t>
  </si>
  <si>
    <t>USR00011</t>
  </si>
  <si>
    <t>USR00170</t>
  </si>
  <si>
    <t>USR00121</t>
  </si>
  <si>
    <t>USR00030</t>
  </si>
  <si>
    <t>USR00224</t>
  </si>
  <si>
    <t>USR00078</t>
  </si>
  <si>
    <t>USR00195</t>
  </si>
  <si>
    <t>USR00091</t>
  </si>
  <si>
    <t>USR00198</t>
  </si>
  <si>
    <t>USR00124</t>
  </si>
  <si>
    <t>USR00201</t>
  </si>
  <si>
    <t>USR00044</t>
  </si>
  <si>
    <t>USR00049</t>
  </si>
  <si>
    <t>USR00280</t>
  </si>
  <si>
    <t>USR00004</t>
  </si>
  <si>
    <t>USR00086</t>
  </si>
  <si>
    <t>USR00059</t>
  </si>
  <si>
    <t>USR00177</t>
  </si>
  <si>
    <t>USR00272</t>
  </si>
  <si>
    <t>USR00035</t>
  </si>
  <si>
    <t>USR00235</t>
  </si>
  <si>
    <t>USR00081</t>
  </si>
  <si>
    <t>USR00094</t>
  </si>
  <si>
    <t>USR00273</t>
  </si>
  <si>
    <t>USR00204</t>
  </si>
  <si>
    <t>MOGADISHU</t>
  </si>
  <si>
    <t>USR00026</t>
  </si>
  <si>
    <t>USR00096</t>
  </si>
  <si>
    <t>USR00082</t>
  </si>
  <si>
    <t>USR00042</t>
  </si>
  <si>
    <t>USR00040</t>
  </si>
  <si>
    <t>USR00215</t>
  </si>
  <si>
    <t>USR00138</t>
  </si>
  <si>
    <t>USR00275</t>
  </si>
  <si>
    <t>USR00176</t>
  </si>
  <si>
    <t>USR00281</t>
  </si>
  <si>
    <t>USR00087</t>
  </si>
  <si>
    <t>USR00036</t>
  </si>
  <si>
    <t>USR00231</t>
  </si>
  <si>
    <t>USR00090</t>
  </si>
  <si>
    <t>USR00178</t>
  </si>
  <si>
    <t>USR00258</t>
  </si>
  <si>
    <t>USR00152</t>
  </si>
  <si>
    <t>USR00241</t>
  </si>
  <si>
    <t>bosaso</t>
  </si>
  <si>
    <t>USR00254</t>
  </si>
  <si>
    <t>USR00260</t>
  </si>
  <si>
    <t>USR00093</t>
  </si>
  <si>
    <t>USR00057</t>
  </si>
  <si>
    <t>USR00268</t>
  </si>
  <si>
    <t>USR00222</t>
  </si>
  <si>
    <t>USR00111</t>
  </si>
  <si>
    <t>USR00253</t>
  </si>
  <si>
    <t>USR00146</t>
  </si>
  <si>
    <t>USR00024</t>
  </si>
  <si>
    <t>USR00234</t>
  </si>
  <si>
    <t>USR00220</t>
  </si>
  <si>
    <t>USR00238</t>
  </si>
  <si>
    <t>USR00064</t>
  </si>
  <si>
    <t>USR00115</t>
  </si>
  <si>
    <t>USR00084</t>
  </si>
  <si>
    <t>USR00051</t>
  </si>
  <si>
    <t>USR00180</t>
  </si>
  <si>
    <t>USR00109</t>
  </si>
  <si>
    <t>USR00263</t>
  </si>
  <si>
    <t>USR00147</t>
  </si>
  <si>
    <t>USR00100</t>
  </si>
  <si>
    <t>USR00150</t>
  </si>
  <si>
    <t>USR00199</t>
  </si>
  <si>
    <t>USR00191</t>
  </si>
  <si>
    <t>USR00240</t>
  </si>
  <si>
    <t>USR00019</t>
  </si>
  <si>
    <t>USR00237</t>
  </si>
  <si>
    <t>USR00088</t>
  </si>
  <si>
    <t>USR00287</t>
  </si>
  <si>
    <t>USR00134</t>
  </si>
  <si>
    <t>USR00243</t>
  </si>
  <si>
    <t>USR00181</t>
  </si>
  <si>
    <t>USR00131</t>
  </si>
  <si>
    <t>USR00230</t>
  </si>
  <si>
    <t>USR00023</t>
  </si>
  <si>
    <t>USR00169</t>
  </si>
  <si>
    <t>USR00155</t>
  </si>
  <si>
    <t>USR00118</t>
  </si>
  <si>
    <t>USR00279</t>
  </si>
  <si>
    <t>USR00114</t>
  </si>
  <si>
    <t>USR00290</t>
  </si>
  <si>
    <t>USR00174</t>
  </si>
  <si>
    <t>USR00072</t>
  </si>
  <si>
    <t>USR00107</t>
  </si>
  <si>
    <t>USR00189</t>
  </si>
  <si>
    <t>USR00016</t>
  </si>
  <si>
    <t>USR00158</t>
  </si>
  <si>
    <t>USR00112</t>
  </si>
  <si>
    <t>USR00089</t>
  </si>
  <si>
    <t>USR00027</t>
  </si>
  <si>
    <t>USR00233</t>
  </si>
  <si>
    <t>USR00256</t>
  </si>
  <si>
    <t>USR00003</t>
  </si>
  <si>
    <t>USR00104</t>
  </si>
  <si>
    <t>USR00135</t>
  </si>
  <si>
    <t>USR00212</t>
  </si>
  <si>
    <t>USR00038</t>
  </si>
  <si>
    <t>USR00192</t>
  </si>
  <si>
    <t>USR00211</t>
  </si>
  <si>
    <t>USR00047</t>
  </si>
  <si>
    <t>USR00052</t>
  </si>
  <si>
    <t>USR00288</t>
  </si>
  <si>
    <t>USR00270</t>
  </si>
  <si>
    <t>USR00046</t>
  </si>
  <si>
    <t>USR00122</t>
  </si>
  <si>
    <t>USR00133</t>
  </si>
  <si>
    <t>USR00292</t>
  </si>
  <si>
    <t>USR00148</t>
  </si>
  <si>
    <t>USR00161</t>
  </si>
  <si>
    <t>USR00110</t>
  </si>
  <si>
    <t>KISMAYO</t>
  </si>
  <si>
    <t>USR00154</t>
  </si>
  <si>
    <t>USR00068</t>
  </si>
  <si>
    <t>USR00197</t>
  </si>
  <si>
    <t>USR00276</t>
  </si>
  <si>
    <t>USR00187</t>
  </si>
  <si>
    <t>USR00045</t>
  </si>
  <si>
    <t>hargeisa</t>
  </si>
  <si>
    <t>USR00162</t>
  </si>
  <si>
    <t>USR00028</t>
  </si>
  <si>
    <t>USR00017</t>
  </si>
  <si>
    <t>USR00182</t>
  </si>
  <si>
    <t>USR00226</t>
  </si>
  <si>
    <t>USR00213</t>
  </si>
  <si>
    <t>USR00123</t>
  </si>
  <si>
    <t>USR00066</t>
  </si>
  <si>
    <t>USR00277</t>
  </si>
  <si>
    <t>USR00250</t>
  </si>
  <si>
    <t>USR00002</t>
  </si>
  <si>
    <t>USR00012</t>
  </si>
  <si>
    <t>USR00103</t>
  </si>
  <si>
    <t>USR00055</t>
  </si>
  <si>
    <t>USR00007</t>
  </si>
  <si>
    <t>Total</t>
  </si>
  <si>
    <t>Avrage</t>
  </si>
  <si>
    <t>Ifs</t>
  </si>
  <si>
    <t>If</t>
  </si>
  <si>
    <t>Sumif</t>
  </si>
  <si>
    <t>Medium</t>
  </si>
  <si>
    <t>Max</t>
  </si>
  <si>
    <t>Min</t>
  </si>
  <si>
    <t>Today</t>
  </si>
  <si>
    <t>Month</t>
  </si>
  <si>
    <t>Year</t>
  </si>
  <si>
    <t>Date</t>
  </si>
  <si>
    <t>Day</t>
  </si>
  <si>
    <t>Countif</t>
  </si>
  <si>
    <t>Avrage if</t>
  </si>
  <si>
    <t>Numeric filter</t>
  </si>
  <si>
    <t>Conflicting duplicate groups retained</t>
  </si>
  <si>
    <t>User_Type</t>
  </si>
  <si>
    <t>Plan_Type</t>
  </si>
  <si>
    <t>Student</t>
  </si>
  <si>
    <t>USR00160</t>
  </si>
  <si>
    <t>Individual</t>
  </si>
  <si>
    <t>USR00013</t>
  </si>
  <si>
    <t>USR00229</t>
  </si>
  <si>
    <t>USR00163</t>
  </si>
  <si>
    <t>N/A</t>
  </si>
  <si>
    <t>USR00259</t>
  </si>
  <si>
    <t>USR00029</t>
  </si>
  <si>
    <t>USR00219</t>
  </si>
  <si>
    <t>USR00127</t>
  </si>
  <si>
    <t>USR00172</t>
  </si>
  <si>
    <t>USR00218</t>
  </si>
  <si>
    <t>GAROWE</t>
  </si>
  <si>
    <t>USR00190</t>
  </si>
  <si>
    <t>USR00247</t>
  </si>
  <si>
    <t>USR00208</t>
  </si>
  <si>
    <t>USR00157</t>
  </si>
  <si>
    <t>USR00065</t>
  </si>
  <si>
    <t>USR00120</t>
  </si>
  <si>
    <t>USR00058</t>
  </si>
  <si>
    <t>USR00039</t>
  </si>
  <si>
    <t>USR00139</t>
  </si>
  <si>
    <t>USR00261</t>
  </si>
  <si>
    <t>USR00271</t>
  </si>
  <si>
    <t>USR00285</t>
  </si>
  <si>
    <t>USR00141</t>
  </si>
  <si>
    <t>USR00108</t>
  </si>
  <si>
    <t>INDIVIDUAL</t>
  </si>
  <si>
    <t>USR00018</t>
  </si>
  <si>
    <t>USR00221</t>
  </si>
  <si>
    <t>USR00166</t>
  </si>
  <si>
    <t>USR00156</t>
  </si>
  <si>
    <t>USR00021</t>
  </si>
  <si>
    <t>USR00282</t>
  </si>
  <si>
    <t>USR00126</t>
  </si>
  <si>
    <t>USR00236</t>
  </si>
  <si>
    <t>USR00136</t>
  </si>
  <si>
    <t>USR00179</t>
  </si>
  <si>
    <t>Unknown</t>
  </si>
  <si>
    <t>USR00262</t>
  </si>
  <si>
    <t>USR00207</t>
  </si>
  <si>
    <t>USR00070</t>
  </si>
  <si>
    <t>USR00080</t>
  </si>
  <si>
    <t>USR00069</t>
  </si>
  <si>
    <t>BASIC</t>
  </si>
  <si>
    <t>USR00143</t>
  </si>
  <si>
    <t>USR00244</t>
  </si>
  <si>
    <t>USR00125</t>
  </si>
  <si>
    <t>NULL</t>
  </si>
  <si>
    <t>USR00183</t>
  </si>
  <si>
    <t>USR00041</t>
  </si>
  <si>
    <t>USR00291</t>
  </si>
  <si>
    <t>USR00245</t>
  </si>
  <si>
    <t>USR00101</t>
  </si>
  <si>
    <t>USR00105</t>
  </si>
  <si>
    <t>USR00205</t>
  </si>
  <si>
    <t>USR00020</t>
  </si>
  <si>
    <t>USR00159</t>
  </si>
  <si>
    <t>USR00175</t>
  </si>
  <si>
    <t>USR00128</t>
  </si>
  <si>
    <t>USR00009</t>
  </si>
  <si>
    <t>USR00063</t>
  </si>
  <si>
    <t>USR00223</t>
  </si>
  <si>
    <t>USR00255</t>
  </si>
  <si>
    <t>USR00079</t>
  </si>
  <si>
    <t>USR00186</t>
  </si>
  <si>
    <t>USR00214</t>
  </si>
  <si>
    <t>USR00216</t>
  </si>
  <si>
    <t>USR00137</t>
  </si>
  <si>
    <t>USR00037</t>
  </si>
  <si>
    <t>USR00167</t>
  </si>
  <si>
    <t>USR00225</t>
  </si>
  <si>
    <t>-</t>
  </si>
  <si>
    <t>USR00283</t>
  </si>
  <si>
    <t>USR00075</t>
  </si>
  <si>
    <t>USR00106</t>
  </si>
  <si>
    <t>USR00085</t>
  </si>
  <si>
    <t>standard</t>
  </si>
  <si>
    <t>USR00210</t>
  </si>
  <si>
    <t>USR00022</t>
  </si>
  <si>
    <t>USR00264</t>
  </si>
  <si>
    <t>USR00144</t>
  </si>
  <si>
    <t>USR00073</t>
  </si>
  <si>
    <t>USR00008</t>
  </si>
  <si>
    <t>USR00140</t>
  </si>
  <si>
    <t>USR00251</t>
  </si>
  <si>
    <t>USR00142</t>
  </si>
  <si>
    <t>USR00001</t>
  </si>
  <si>
    <t>USR00132</t>
  </si>
  <si>
    <t>USR00269</t>
  </si>
  <si>
    <t>USR00145</t>
  </si>
  <si>
    <t>USR00056</t>
  </si>
  <si>
    <t>USR00092</t>
  </si>
  <si>
    <t>USR00119</t>
  </si>
  <si>
    <t>USR00060</t>
  </si>
  <si>
    <t>USR00203</t>
  </si>
  <si>
    <t>USR00209</t>
  </si>
  <si>
    <t>USR00228</t>
  </si>
  <si>
    <t>USR00061</t>
  </si>
  <si>
    <t>USR00194</t>
  </si>
  <si>
    <t>USR00149</t>
  </si>
  <si>
    <t>Region filter</t>
  </si>
  <si>
    <t>Plan type filter</t>
  </si>
  <si>
    <t>Filter Cleaned_Data mogadishu to bussness</t>
  </si>
  <si>
    <t>Custom Filter: Avrage &lt; 30 OR sesion haurs &gt; 10.0</t>
  </si>
  <si>
    <t>A-Z names; GPA high-to-low :session hours avrage high-to-low</t>
  </si>
  <si>
    <t>Metric</t>
  </si>
  <si>
    <t>Value</t>
  </si>
  <si>
    <t>Student rows after cleaning</t>
  </si>
  <si>
    <t>COUNTA Student ID</t>
  </si>
  <si>
    <t>Rows removed - blank</t>
  </si>
  <si>
    <t>Rows removed - confirmed duplicates</t>
  </si>
  <si>
    <t>Filter Data</t>
  </si>
  <si>
    <t>Now</t>
  </si>
  <si>
    <t>Sum</t>
  </si>
  <si>
    <t>AND</t>
  </si>
  <si>
    <t>0R</t>
  </si>
  <si>
    <t>Count</t>
  </si>
  <si>
    <t xml:space="preserve">missing </t>
  </si>
  <si>
    <t>number</t>
  </si>
  <si>
    <t>15 BLANK</t>
  </si>
  <si>
    <t>1..USER ID</t>
  </si>
  <si>
    <t>2..USAGE DATE</t>
  </si>
  <si>
    <t>3..REGION</t>
  </si>
  <si>
    <t>4..USER TYPE</t>
  </si>
  <si>
    <t>5..PLAN TYPE</t>
  </si>
  <si>
    <t>16.BLANK, 1..NA =17 TOTAL MISING</t>
  </si>
  <si>
    <t>15.BLANK,1..NA,1..UNKOWN =17 TOTAL MSING</t>
  </si>
  <si>
    <t>16 BLANK TOTAL MISING</t>
  </si>
  <si>
    <t>18 .BALANK, 1.N/A,1.UNKOWN,1..NULL =21 BLANK</t>
  </si>
  <si>
    <t>6..DATA USAGE</t>
  </si>
  <si>
    <t>15.BLANK,1..NA,1..NULL,  =17 TOTAL MISING</t>
  </si>
  <si>
    <t>7..SESISION HOURS</t>
  </si>
  <si>
    <t>16.BLANK,1..UNKNOWN =17 TOTAL MISSING</t>
  </si>
  <si>
    <t>Row Labels</t>
  </si>
  <si>
    <t>Grand Total</t>
  </si>
  <si>
    <t>Sum of Data_Usage_GB</t>
  </si>
  <si>
    <t>student</t>
  </si>
  <si>
    <t>Sum of Total</t>
  </si>
  <si>
    <t>8.dublicate</t>
  </si>
  <si>
    <t>3 kale ayan dalede oo palnk ku badnaa colom yada</t>
  </si>
  <si>
    <t>Total  usage Sum</t>
  </si>
  <si>
    <t>Average Total usage</t>
  </si>
  <si>
    <t>Minimum Total usage</t>
  </si>
  <si>
    <t>Maximum Total usage</t>
  </si>
  <si>
    <t>Count Total usage</t>
  </si>
  <si>
    <t>Maximum Total data usage'"ïndividual"</t>
  </si>
  <si>
    <t xml:space="preserve"> minimum data usage "bussness"</t>
  </si>
  <si>
    <t>region maximum "mogadishu"</t>
  </si>
  <si>
    <t>3433.1=30%</t>
  </si>
  <si>
    <t>3957.4=52%</t>
  </si>
  <si>
    <t>1342.9=18%</t>
  </si>
  <si>
    <t>region minimum data usage"garowe"</t>
  </si>
  <si>
    <t>928=10%</t>
  </si>
  <si>
    <t>2025</t>
  </si>
  <si>
    <t>2026</t>
  </si>
  <si>
    <t>5212.9=68%</t>
  </si>
  <si>
    <t>minumum yeaar data usage"2026"</t>
  </si>
  <si>
    <t>maximum year data usage"2025"</t>
  </si>
  <si>
    <t>2419.7=32%</t>
  </si>
  <si>
    <t xml:space="preserve">      RECOMANDATION</t>
  </si>
  <si>
    <t>after anaylzing the data  I found that internet usage in growe is low amoung</t>
  </si>
  <si>
    <t xml:space="preserve">while internet usage for bussnes is also low </t>
  </si>
  <si>
    <t>there fore more marketing and awareness campaings should be</t>
  </si>
  <si>
    <t>introduced to encourage and bussness to use the internet more affectively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</si>
</sst>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numFmt numFmtId="165" formatCode="0.0"/>
    <numFmt numFmtId="166" formatCode="[$-F400]h:mm:ss\ AM/PM"/>
  </numFmts>
  <fonts count="4">
    <font>
      <sz val="11"/>
      <color theme="1"/>
      <name val="Calibri"/>
      <family val="2"/>
      <scheme val="minor"/>
    </font>
    <font>
      <b/>
      <sz val="11"/>
      <name val="Carlito"/>
    </font>
    <font>
      <b/>
      <sz val="11"/>
      <color rgb="FFFFFFFF"/>
      <name val="Cambria"/>
      <family val="1"/>
    </font>
    <font>
      <sz val="11"/>
      <color theme="1"/>
      <name val="Calibri"/>
      <family val="2"/>
      <scheme val="minor"/>
    </font>
  </fonts>
  <fills count="4">
    <fill>
      <patternFill patternType="none"/>
    </fill>
    <fill>
      <patternFill patternType="gray125"/>
    </fill>
    <fill>
      <patternFill patternType="solid">
        <fgColor rgb="FFD9EAF7"/>
      </patternFill>
    </fill>
    <fill>
      <patternFill patternType="solid">
        <fgColor rgb="FF1F4E78"/>
        <bgColor rgb="FF0B3D91"/>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19">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164" fontId="0" fillId="0" borderId="0" xfId="0" applyNumberFormat="1"/>
    <xf numFmtId="165" fontId="0" fillId="0" borderId="0" xfId="0" applyNumberFormat="1"/>
    <xf numFmtId="0" fontId="2" fillId="3" borderId="0" xfId="0" applyFont="1" applyFill="1" applyAlignment="1">
      <alignment vertical="top" wrapText="1"/>
    </xf>
    <xf numFmtId="0" fontId="2" fillId="3" borderId="0" xfId="0" applyFont="1" applyFill="1" applyAlignment="1">
      <alignment horizontal="right" wrapText="1" indent="1"/>
    </xf>
    <xf numFmtId="0" fontId="0" fillId="0" borderId="0" xfId="0" applyAlignment="1">
      <alignment horizontal="right" wrapText="1" indent="1"/>
    </xf>
    <xf numFmtId="0" fontId="0" fillId="0" borderId="0" xfId="0" applyAlignment="1">
      <alignment horizontal="right" indent="1"/>
    </xf>
    <xf numFmtId="0" fontId="0" fillId="0" borderId="0" xfId="0" pivotButton="1"/>
    <xf numFmtId="0" fontId="0" fillId="0" borderId="0" xfId="0" applyAlignment="1">
      <alignment horizontal="left"/>
    </xf>
    <xf numFmtId="0" fontId="1" fillId="2" borderId="0" xfId="0" applyFont="1" applyFill="1" applyAlignment="1">
      <alignment horizontal="left" vertical="center"/>
    </xf>
    <xf numFmtId="164" fontId="0" fillId="0" borderId="0" xfId="0" applyNumberFormat="1" applyAlignment="1">
      <alignment horizontal="left"/>
    </xf>
    <xf numFmtId="165" fontId="0" fillId="0" borderId="0" xfId="0" applyNumberFormat="1" applyAlignment="1">
      <alignment horizontal="left"/>
    </xf>
    <xf numFmtId="166" fontId="0" fillId="0" borderId="0" xfId="0" applyNumberFormat="1" applyAlignment="1">
      <alignment horizontal="left"/>
    </xf>
    <xf numFmtId="12" fontId="0" fillId="0" borderId="0" xfId="0" applyNumberFormat="1" applyAlignment="1">
      <alignment horizontal="left"/>
    </xf>
    <xf numFmtId="14" fontId="0" fillId="0" borderId="0" xfId="0" applyNumberFormat="1" applyAlignment="1">
      <alignment horizontal="left"/>
    </xf>
    <xf numFmtId="14" fontId="0" fillId="0" borderId="0" xfId="1" applyNumberFormat="1" applyFont="1" applyAlignment="1">
      <alignment horizontal="left"/>
    </xf>
    <xf numFmtId="10" fontId="0" fillId="0" borderId="0" xfId="0" applyNumberFormat="1" applyAlignment="1">
      <alignment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interneT END to end.xlsx]Sheet1!PivotTable2</c:name>
    <c:fmtId val="1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solidFill>
            <a:schemeClr val="bg2">
              <a:lumMod val="10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bg2">
                <a:lumMod val="10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Sheet1!$A$4:$A$5</c:f>
              <c:strCache>
                <c:ptCount val="1"/>
                <c:pt idx="0">
                  <c:v>2025</c:v>
                </c:pt>
              </c:strCache>
            </c:strRef>
          </c:cat>
          <c:val>
            <c:numRef>
              <c:f>Sheet1!$B$4:$B$5</c:f>
              <c:numCache>
                <c:formatCode>0.0</c:formatCode>
                <c:ptCount val="1"/>
                <c:pt idx="0">
                  <c:v>49.35</c:v>
                </c:pt>
              </c:numCache>
            </c:numRef>
          </c:val>
          <c:extLst>
            <c:ext xmlns:c16="http://schemas.microsoft.com/office/drawing/2014/chart" uri="{C3380CC4-5D6E-409C-BE32-E72D297353CC}">
              <c16:uniqueId val="{00000000-29C6-4419-AE3E-89CD52DCE824}"/>
            </c:ext>
          </c:extLst>
        </c:ser>
        <c:dLbls>
          <c:dLblPos val="inEnd"/>
          <c:showLegendKey val="0"/>
          <c:showVal val="1"/>
          <c:showCatName val="0"/>
          <c:showSerName val="0"/>
          <c:showPercent val="0"/>
          <c:showBubbleSize val="0"/>
        </c:dLbls>
        <c:gapWidth val="41"/>
        <c:axId val="1891711888"/>
        <c:axId val="1891795952"/>
      </c:barChart>
      <c:catAx>
        <c:axId val="1891711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91795952"/>
        <c:crosses val="autoZero"/>
        <c:auto val="1"/>
        <c:lblAlgn val="ctr"/>
        <c:lblOffset val="100"/>
        <c:noMultiLvlLbl val="0"/>
      </c:catAx>
      <c:valAx>
        <c:axId val="1891795952"/>
        <c:scaling>
          <c:orientation val="minMax"/>
        </c:scaling>
        <c:delete val="1"/>
        <c:axPos val="l"/>
        <c:numFmt formatCode="0.0" sourceLinked="1"/>
        <c:majorTickMark val="none"/>
        <c:minorTickMark val="none"/>
        <c:tickLblPos val="nextTo"/>
        <c:crossAx val="189171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interneT END to end.xlsx]pivotaple!PivotTable8</c:name>
    <c:fmtId val="0"/>
  </c:pivotSource>
  <c:chart>
    <c:title>
      <c:layout>
        <c:manualLayout>
          <c:xMode val="edge"/>
          <c:yMode val="edge"/>
          <c:x val="0.42861111111111116"/>
          <c:y val="2.8073583313099081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solidFill>
            <a:srgbClr val="00206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1981627296588"/>
          <c:y val="0.28704568316625617"/>
          <c:w val="0.74215048118985127"/>
          <c:h val="0.41352526969371117"/>
        </c:manualLayout>
      </c:layout>
      <c:barChart>
        <c:barDir val="col"/>
        <c:grouping val="clustered"/>
        <c:varyColors val="0"/>
        <c:ser>
          <c:idx val="0"/>
          <c:order val="0"/>
          <c:tx>
            <c:strRef>
              <c:f>pivotaple!$B$3</c:f>
              <c:strCache>
                <c:ptCount val="1"/>
                <c:pt idx="0">
                  <c:v>Total</c:v>
                </c:pt>
              </c:strCache>
            </c:strRef>
          </c:tx>
          <c:spPr>
            <a:solidFill>
              <a:srgbClr val="00206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pivotaple!$A$4:$A$7</c:f>
              <c:strCache>
                <c:ptCount val="3"/>
                <c:pt idx="0">
                  <c:v>Business</c:v>
                </c:pt>
                <c:pt idx="1">
                  <c:v>Individual</c:v>
                </c:pt>
                <c:pt idx="2">
                  <c:v>Student</c:v>
                </c:pt>
              </c:strCache>
            </c:strRef>
          </c:cat>
          <c:val>
            <c:numRef>
              <c:f>pivotaple!$B$4:$B$7</c:f>
              <c:numCache>
                <c:formatCode>0.0</c:formatCode>
                <c:ptCount val="3"/>
                <c:pt idx="0">
                  <c:v>226.28</c:v>
                </c:pt>
                <c:pt idx="1">
                  <c:v>396.68999999999994</c:v>
                </c:pt>
                <c:pt idx="2">
                  <c:v>456.41999999999996</c:v>
                </c:pt>
              </c:numCache>
            </c:numRef>
          </c:val>
          <c:extLst>
            <c:ext xmlns:c16="http://schemas.microsoft.com/office/drawing/2014/chart" uri="{C3380CC4-5D6E-409C-BE32-E72D297353CC}">
              <c16:uniqueId val="{00000000-4797-4006-814A-DCDA882E45A0}"/>
            </c:ext>
          </c:extLst>
        </c:ser>
        <c:dLbls>
          <c:dLblPos val="inEnd"/>
          <c:showLegendKey val="0"/>
          <c:showVal val="1"/>
          <c:showCatName val="0"/>
          <c:showSerName val="0"/>
          <c:showPercent val="0"/>
          <c:showBubbleSize val="0"/>
        </c:dLbls>
        <c:gapWidth val="41"/>
        <c:axId val="1720651935"/>
        <c:axId val="1739543951"/>
      </c:barChart>
      <c:catAx>
        <c:axId val="1720651935"/>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39543951"/>
        <c:crosses val="autoZero"/>
        <c:auto val="1"/>
        <c:lblAlgn val="ctr"/>
        <c:lblOffset val="100"/>
        <c:noMultiLvlLbl val="0"/>
      </c:catAx>
      <c:valAx>
        <c:axId val="1739543951"/>
        <c:scaling>
          <c:orientation val="minMax"/>
        </c:scaling>
        <c:delete val="1"/>
        <c:axPos val="l"/>
        <c:majorGridlines>
          <c:spPr>
            <a:ln w="9525" cap="flat" cmpd="sng" algn="ctr">
              <a:solidFill>
                <a:schemeClr val="dk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 sourceLinked="1"/>
        <c:majorTickMark val="none"/>
        <c:minorTickMark val="none"/>
        <c:tickLblPos val="nextTo"/>
        <c:crossAx val="172065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interneT END to end.xlsx]pivotaple!PivotTable9</c:name>
    <c:fmtId val="1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pivotaple!$B$25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pivotaple!$A$26:$A$27</c:f>
              <c:strCache>
                <c:ptCount val="1"/>
                <c:pt idx="0">
                  <c:v>Kismayo</c:v>
                </c:pt>
              </c:strCache>
            </c:strRef>
          </c:cat>
          <c:val>
            <c:numRef>
              <c:f>pivotaple!$B$26:$B$27</c:f>
              <c:numCache>
                <c:formatCode>0.0</c:formatCode>
                <c:ptCount val="1"/>
                <c:pt idx="0">
                  <c:v>1286.7700000000002</c:v>
                </c:pt>
              </c:numCache>
            </c:numRef>
          </c:val>
          <c:extLst>
            <c:ext xmlns:c16="http://schemas.microsoft.com/office/drawing/2014/chart" uri="{C3380CC4-5D6E-409C-BE32-E72D297353CC}">
              <c16:uniqueId val="{00000000-78D9-449C-A429-26A7ABA103F7}"/>
            </c:ext>
          </c:extLst>
        </c:ser>
        <c:dLbls>
          <c:dLblPos val="outEnd"/>
          <c:showLegendKey val="0"/>
          <c:showVal val="1"/>
          <c:showCatName val="0"/>
          <c:showSerName val="0"/>
          <c:showPercent val="0"/>
          <c:showBubbleSize val="0"/>
        </c:dLbls>
        <c:gapWidth val="100"/>
        <c:overlap val="-24"/>
        <c:axId val="2018102560"/>
        <c:axId val="1891813712"/>
      </c:barChart>
      <c:catAx>
        <c:axId val="2018102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813712"/>
        <c:crosses val="autoZero"/>
        <c:auto val="1"/>
        <c:lblAlgn val="ctr"/>
        <c:lblOffset val="100"/>
        <c:noMultiLvlLbl val="0"/>
      </c:catAx>
      <c:valAx>
        <c:axId val="18918137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810256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interneT END to end.xlsx]pivotaple!PivotTable1</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33092738407698"/>
          <c:y val="0.20309966462525517"/>
          <c:w val="0.74215048118985127"/>
          <c:h val="0.53774387576552929"/>
        </c:manualLayout>
      </c:layout>
      <c:barChart>
        <c:barDir val="col"/>
        <c:grouping val="clustered"/>
        <c:varyColors val="0"/>
        <c:ser>
          <c:idx val="0"/>
          <c:order val="0"/>
          <c:tx>
            <c:strRef>
              <c:f>pivotaple!$B$46</c:f>
              <c:strCache>
                <c:ptCount val="1"/>
                <c:pt idx="0">
                  <c:v>Total</c:v>
                </c:pt>
              </c:strCache>
            </c:strRef>
          </c:tx>
          <c:spPr>
            <a:solidFill>
              <a:schemeClr val="accent1"/>
            </a:solidFill>
            <a:ln>
              <a:noFill/>
            </a:ln>
            <a:effectLst/>
          </c:spPr>
          <c:invertIfNegative val="0"/>
          <c:cat>
            <c:strRef>
              <c:f>pivotaple!$A$47:$A$49</c:f>
              <c:strCache>
                <c:ptCount val="2"/>
                <c:pt idx="0">
                  <c:v>2025</c:v>
                </c:pt>
                <c:pt idx="1">
                  <c:v>2026</c:v>
                </c:pt>
              </c:strCache>
            </c:strRef>
          </c:cat>
          <c:val>
            <c:numRef>
              <c:f>pivotaple!$B$47:$B$49</c:f>
              <c:numCache>
                <c:formatCode>0.0</c:formatCode>
                <c:ptCount val="2"/>
                <c:pt idx="0">
                  <c:v>717.95</c:v>
                </c:pt>
                <c:pt idx="1">
                  <c:v>361.43999999999994</c:v>
                </c:pt>
              </c:numCache>
            </c:numRef>
          </c:val>
          <c:extLst>
            <c:ext xmlns:c16="http://schemas.microsoft.com/office/drawing/2014/chart" uri="{C3380CC4-5D6E-409C-BE32-E72D297353CC}">
              <c16:uniqueId val="{00000000-98AE-4095-8866-FBC64A05DF24}"/>
            </c:ext>
          </c:extLst>
        </c:ser>
        <c:dLbls>
          <c:showLegendKey val="0"/>
          <c:showVal val="0"/>
          <c:showCatName val="0"/>
          <c:showSerName val="0"/>
          <c:showPercent val="0"/>
          <c:showBubbleSize val="0"/>
        </c:dLbls>
        <c:gapWidth val="219"/>
        <c:overlap val="-27"/>
        <c:axId val="2106536975"/>
        <c:axId val="2113584591"/>
      </c:barChart>
      <c:catAx>
        <c:axId val="210653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84591"/>
        <c:crosses val="autoZero"/>
        <c:auto val="1"/>
        <c:lblAlgn val="ctr"/>
        <c:lblOffset val="100"/>
        <c:noMultiLvlLbl val="0"/>
      </c:catAx>
      <c:valAx>
        <c:axId val="2113584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3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interneT END to end.xlsx]pivotaple!PivotTable9</c:name>
    <c:fmtId val="2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pivotaple!$B$25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pivotaple!$A$26:$A$27</c:f>
              <c:strCache>
                <c:ptCount val="1"/>
                <c:pt idx="0">
                  <c:v>Kismayo</c:v>
                </c:pt>
              </c:strCache>
            </c:strRef>
          </c:cat>
          <c:val>
            <c:numRef>
              <c:f>pivotaple!$B$26:$B$27</c:f>
              <c:numCache>
                <c:formatCode>0.0</c:formatCode>
                <c:ptCount val="1"/>
                <c:pt idx="0">
                  <c:v>1286.7700000000002</c:v>
                </c:pt>
              </c:numCache>
            </c:numRef>
          </c:val>
          <c:extLst>
            <c:ext xmlns:c16="http://schemas.microsoft.com/office/drawing/2014/chart" uri="{C3380CC4-5D6E-409C-BE32-E72D297353CC}">
              <c16:uniqueId val="{00000000-EA76-488E-BC4C-EBA0C56E9416}"/>
            </c:ext>
          </c:extLst>
        </c:ser>
        <c:dLbls>
          <c:dLblPos val="outEnd"/>
          <c:showLegendKey val="0"/>
          <c:showVal val="1"/>
          <c:showCatName val="0"/>
          <c:showSerName val="0"/>
          <c:showPercent val="0"/>
          <c:showBubbleSize val="0"/>
        </c:dLbls>
        <c:gapWidth val="100"/>
        <c:overlap val="-24"/>
        <c:axId val="2018102560"/>
        <c:axId val="1891813712"/>
      </c:barChart>
      <c:catAx>
        <c:axId val="20181025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1813712"/>
        <c:crosses val="autoZero"/>
        <c:auto val="1"/>
        <c:lblAlgn val="ctr"/>
        <c:lblOffset val="100"/>
        <c:noMultiLvlLbl val="0"/>
      </c:catAx>
      <c:valAx>
        <c:axId val="1891813712"/>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810256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interneT END to end.xlsx]pivotaple!PivotTable8</c:name>
    <c:fmtId val="5"/>
  </c:pivotSource>
  <c:chart>
    <c:title>
      <c:layout>
        <c:manualLayout>
          <c:xMode val="edge"/>
          <c:yMode val="edge"/>
          <c:x val="0.42861111111111116"/>
          <c:y val="2.8073583313099081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solidFill>
            <a:srgbClr val="002060"/>
          </a:soli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21981627296588"/>
          <c:y val="0.28704568316625617"/>
          <c:w val="0.74215048118985127"/>
          <c:h val="0.41352526969371117"/>
        </c:manualLayout>
      </c:layout>
      <c:barChart>
        <c:barDir val="col"/>
        <c:grouping val="clustered"/>
        <c:varyColors val="0"/>
        <c:ser>
          <c:idx val="0"/>
          <c:order val="0"/>
          <c:tx>
            <c:strRef>
              <c:f>pivotaple!$B$3</c:f>
              <c:strCache>
                <c:ptCount val="1"/>
                <c:pt idx="0">
                  <c:v>Total</c:v>
                </c:pt>
              </c:strCache>
            </c:strRef>
          </c:tx>
          <c:spPr>
            <a:solidFill>
              <a:srgbClr val="002060"/>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pivotaple!$A$4:$A$7</c:f>
              <c:strCache>
                <c:ptCount val="3"/>
                <c:pt idx="0">
                  <c:v>Business</c:v>
                </c:pt>
                <c:pt idx="1">
                  <c:v>Individual</c:v>
                </c:pt>
                <c:pt idx="2">
                  <c:v>Student</c:v>
                </c:pt>
              </c:strCache>
            </c:strRef>
          </c:cat>
          <c:val>
            <c:numRef>
              <c:f>pivotaple!$B$4:$B$7</c:f>
              <c:numCache>
                <c:formatCode>0.0</c:formatCode>
                <c:ptCount val="3"/>
                <c:pt idx="0">
                  <c:v>226.28</c:v>
                </c:pt>
                <c:pt idx="1">
                  <c:v>396.68999999999994</c:v>
                </c:pt>
                <c:pt idx="2">
                  <c:v>456.41999999999996</c:v>
                </c:pt>
              </c:numCache>
            </c:numRef>
          </c:val>
          <c:extLst>
            <c:ext xmlns:c16="http://schemas.microsoft.com/office/drawing/2014/chart" uri="{C3380CC4-5D6E-409C-BE32-E72D297353CC}">
              <c16:uniqueId val="{00000000-5254-4A8F-853D-779F2A043DC7}"/>
            </c:ext>
          </c:extLst>
        </c:ser>
        <c:dLbls>
          <c:dLblPos val="inEnd"/>
          <c:showLegendKey val="0"/>
          <c:showVal val="1"/>
          <c:showCatName val="0"/>
          <c:showSerName val="0"/>
          <c:showPercent val="0"/>
          <c:showBubbleSize val="0"/>
        </c:dLbls>
        <c:gapWidth val="41"/>
        <c:axId val="1720651935"/>
        <c:axId val="1739543951"/>
      </c:barChart>
      <c:catAx>
        <c:axId val="1720651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39543951"/>
        <c:crosses val="autoZero"/>
        <c:auto val="1"/>
        <c:lblAlgn val="ctr"/>
        <c:lblOffset val="100"/>
        <c:noMultiLvlLbl val="0"/>
      </c:catAx>
      <c:valAx>
        <c:axId val="1739543951"/>
        <c:scaling>
          <c:orientation val="minMax"/>
        </c:scaling>
        <c:delete val="1"/>
        <c:axPos val="l"/>
        <c:numFmt formatCode="0.0" sourceLinked="1"/>
        <c:majorTickMark val="none"/>
        <c:minorTickMark val="none"/>
        <c:tickLblPos val="nextTo"/>
        <c:crossAx val="172065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interneT END to end.xlsx]pivotaple!PivotTable1</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33092738407698"/>
          <c:y val="0.20309966462525517"/>
          <c:w val="0.74215048118985127"/>
          <c:h val="0.53774387576552929"/>
        </c:manualLayout>
      </c:layout>
      <c:barChart>
        <c:barDir val="col"/>
        <c:grouping val="clustered"/>
        <c:varyColors val="0"/>
        <c:ser>
          <c:idx val="0"/>
          <c:order val="0"/>
          <c:tx>
            <c:strRef>
              <c:f>pivotaple!$B$46</c:f>
              <c:strCache>
                <c:ptCount val="1"/>
                <c:pt idx="0">
                  <c:v>Total</c:v>
                </c:pt>
              </c:strCache>
            </c:strRef>
          </c:tx>
          <c:spPr>
            <a:solidFill>
              <a:schemeClr val="accent1"/>
            </a:solidFill>
            <a:ln>
              <a:noFill/>
            </a:ln>
            <a:effectLst/>
          </c:spPr>
          <c:invertIfNegative val="0"/>
          <c:cat>
            <c:strRef>
              <c:f>pivotaple!$A$47:$A$49</c:f>
              <c:strCache>
                <c:ptCount val="2"/>
                <c:pt idx="0">
                  <c:v>2025</c:v>
                </c:pt>
                <c:pt idx="1">
                  <c:v>2026</c:v>
                </c:pt>
              </c:strCache>
            </c:strRef>
          </c:cat>
          <c:val>
            <c:numRef>
              <c:f>pivotaple!$B$47:$B$49</c:f>
              <c:numCache>
                <c:formatCode>0.0</c:formatCode>
                <c:ptCount val="2"/>
                <c:pt idx="0">
                  <c:v>717.95</c:v>
                </c:pt>
                <c:pt idx="1">
                  <c:v>361.43999999999994</c:v>
                </c:pt>
              </c:numCache>
            </c:numRef>
          </c:val>
          <c:extLst>
            <c:ext xmlns:c16="http://schemas.microsoft.com/office/drawing/2014/chart" uri="{C3380CC4-5D6E-409C-BE32-E72D297353CC}">
              <c16:uniqueId val="{00000000-CE61-44F1-A0E9-5449901633E9}"/>
            </c:ext>
          </c:extLst>
        </c:ser>
        <c:dLbls>
          <c:showLegendKey val="0"/>
          <c:showVal val="0"/>
          <c:showCatName val="0"/>
          <c:showSerName val="0"/>
          <c:showPercent val="0"/>
          <c:showBubbleSize val="0"/>
        </c:dLbls>
        <c:gapWidth val="219"/>
        <c:overlap val="-27"/>
        <c:axId val="2106536975"/>
        <c:axId val="2113584591"/>
      </c:barChart>
      <c:catAx>
        <c:axId val="210653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584591"/>
        <c:crosses val="autoZero"/>
        <c:auto val="1"/>
        <c:lblAlgn val="ctr"/>
        <c:lblOffset val="100"/>
        <c:noMultiLvlLbl val="0"/>
      </c:catAx>
      <c:valAx>
        <c:axId val="2113584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53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488950</xdr:colOff>
      <xdr:row>6</xdr:row>
      <xdr:rowOff>158751</xdr:rowOff>
    </xdr:from>
    <xdr:to>
      <xdr:col>1</xdr:col>
      <xdr:colOff>1206500</xdr:colOff>
      <xdr:row>18</xdr:row>
      <xdr:rowOff>114301</xdr:rowOff>
    </xdr:to>
    <mc:AlternateContent xmlns:mc="http://schemas.openxmlformats.org/markup-compatibility/2006" xmlns:a14="http://schemas.microsoft.com/office/drawing/2010/main">
      <mc:Choice Requires="a14">
        <xdr:graphicFrame macro="">
          <xdr:nvGraphicFramePr>
            <xdr:cNvPr id="3" name="Usage_Date">
              <a:extLst>
                <a:ext uri="{FF2B5EF4-FFF2-40B4-BE49-F238E27FC236}">
                  <a16:creationId xmlns:a16="http://schemas.microsoft.com/office/drawing/2014/main" id="{355D7AA4-99EE-56A5-86F1-09407FB7E380}"/>
                </a:ext>
              </a:extLst>
            </xdr:cNvPr>
            <xdr:cNvGraphicFramePr/>
          </xdr:nvGraphicFramePr>
          <xdr:xfrm>
            <a:off x="0" y="0"/>
            <a:ext cx="0" cy="0"/>
          </xdr:xfrm>
          <a:graphic>
            <a:graphicData uri="http://schemas.microsoft.com/office/drawing/2010/slicer">
              <sle:slicer xmlns:sle="http://schemas.microsoft.com/office/drawing/2010/slicer" name="Usage_Date"/>
            </a:graphicData>
          </a:graphic>
        </xdr:graphicFrame>
      </mc:Choice>
      <mc:Fallback xmlns="">
        <xdr:sp macro="" textlink="">
          <xdr:nvSpPr>
            <xdr:cNvPr id="0" name=""/>
            <xdr:cNvSpPr>
              <a:spLocks noTextEdit="1"/>
            </xdr:cNvSpPr>
          </xdr:nvSpPr>
          <xdr:spPr>
            <a:xfrm>
              <a:off x="488950" y="1263651"/>
              <a:ext cx="1581150" cy="216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200025</xdr:colOff>
      <xdr:row>1</xdr:row>
      <xdr:rowOff>123825</xdr:rowOff>
    </xdr:from>
    <xdr:to>
      <xdr:col>11</xdr:col>
      <xdr:colOff>504825</xdr:colOff>
      <xdr:row>16</xdr:row>
      <xdr:rowOff>104775</xdr:rowOff>
    </xdr:to>
    <xdr:graphicFrame macro="">
      <xdr:nvGraphicFramePr>
        <xdr:cNvPr id="4" name="Chart 3">
          <a:extLst>
            <a:ext uri="{FF2B5EF4-FFF2-40B4-BE49-F238E27FC236}">
              <a16:creationId xmlns:a16="http://schemas.microsoft.com/office/drawing/2014/main" id="{82CC6D25-638A-8E2C-8D97-E95E2C251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358723</xdr:colOff>
      <xdr:row>2</xdr:row>
      <xdr:rowOff>35636</xdr:rowOff>
    </xdr:from>
    <xdr:to>
      <xdr:col>6</xdr:col>
      <xdr:colOff>358723</xdr:colOff>
      <xdr:row>12</xdr:row>
      <xdr:rowOff>133160</xdr:rowOff>
    </xdr:to>
    <mc:AlternateContent xmlns:mc="http://schemas.openxmlformats.org/markup-compatibility/2006" xmlns:a14="http://schemas.microsoft.com/office/drawing/2010/main">
      <mc:Choice Requires="a14">
        <xdr:graphicFrame macro="">
          <xdr:nvGraphicFramePr>
            <xdr:cNvPr id="2" name="User_Type">
              <a:extLst>
                <a:ext uri="{FF2B5EF4-FFF2-40B4-BE49-F238E27FC236}">
                  <a16:creationId xmlns:a16="http://schemas.microsoft.com/office/drawing/2014/main" id="{0EC9672C-4AF6-7AA6-99F3-58E2652DA4D3}"/>
                </a:ext>
              </a:extLst>
            </xdr:cNvPr>
            <xdr:cNvGraphicFramePr/>
          </xdr:nvGraphicFramePr>
          <xdr:xfrm>
            <a:off x="0" y="0"/>
            <a:ext cx="0" cy="0"/>
          </xdr:xfrm>
          <a:graphic>
            <a:graphicData uri="http://schemas.microsoft.com/office/drawing/2010/slicer">
              <sle:slicer xmlns:sle="http://schemas.microsoft.com/office/drawing/2010/slicer" name="User_Type"/>
            </a:graphicData>
          </a:graphic>
        </xdr:graphicFrame>
      </mc:Choice>
      <mc:Fallback xmlns="">
        <xdr:sp macro="" textlink="">
          <xdr:nvSpPr>
            <xdr:cNvPr id="0" name=""/>
            <xdr:cNvSpPr>
              <a:spLocks noTextEdit="1"/>
            </xdr:cNvSpPr>
          </xdr:nvSpPr>
          <xdr:spPr>
            <a:xfrm>
              <a:off x="2709735" y="398493"/>
              <a:ext cx="1836964" cy="1911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92362</xdr:colOff>
      <xdr:row>0</xdr:row>
      <xdr:rowOff>128512</xdr:rowOff>
    </xdr:from>
    <xdr:to>
      <xdr:col>15</xdr:col>
      <xdr:colOff>173870</xdr:colOff>
      <xdr:row>17</xdr:row>
      <xdr:rowOff>143630</xdr:rowOff>
    </xdr:to>
    <xdr:graphicFrame macro="">
      <xdr:nvGraphicFramePr>
        <xdr:cNvPr id="3" name="Chart 2">
          <a:extLst>
            <a:ext uri="{FF2B5EF4-FFF2-40B4-BE49-F238E27FC236}">
              <a16:creationId xmlns:a16="http://schemas.microsoft.com/office/drawing/2014/main" id="{6E497804-9347-3B29-B5B2-36D410487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128381</xdr:colOff>
      <xdr:row>21</xdr:row>
      <xdr:rowOff>95448</xdr:rowOff>
    </xdr:from>
    <xdr:to>
      <xdr:col>6</xdr:col>
      <xdr:colOff>128381</xdr:colOff>
      <xdr:row>35</xdr:row>
      <xdr:rowOff>44194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4F67C0D6-E256-C192-9F4F-07DE2EB956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79393" y="3905448"/>
              <a:ext cx="1836964" cy="24887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370415</xdr:colOff>
      <xdr:row>20</xdr:row>
      <xdr:rowOff>60929</xdr:rowOff>
    </xdr:from>
    <xdr:to>
      <xdr:col>14</xdr:col>
      <xdr:colOff>256266</xdr:colOff>
      <xdr:row>35</xdr:row>
      <xdr:rowOff>82700</xdr:rowOff>
    </xdr:to>
    <xdr:graphicFrame macro="">
      <xdr:nvGraphicFramePr>
        <xdr:cNvPr id="6" name="Chart 5">
          <a:extLst>
            <a:ext uri="{FF2B5EF4-FFF2-40B4-BE49-F238E27FC236}">
              <a16:creationId xmlns:a16="http://schemas.microsoft.com/office/drawing/2014/main" id="{04D6BD24-2895-AB3D-20DF-E18006940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68942</xdr:colOff>
      <xdr:row>39</xdr:row>
      <xdr:rowOff>86481</xdr:rowOff>
    </xdr:from>
    <xdr:to>
      <xdr:col>6</xdr:col>
      <xdr:colOff>60778</xdr:colOff>
      <xdr:row>53</xdr:row>
      <xdr:rowOff>70606</xdr:rowOff>
    </xdr:to>
    <mc:AlternateContent xmlns:mc="http://schemas.openxmlformats.org/markup-compatibility/2006">
      <mc:Choice xmlns:a14="http://schemas.microsoft.com/office/drawing/2010/main" Requires="a14">
        <xdr:graphicFrame macro="">
          <xdr:nvGraphicFramePr>
            <xdr:cNvPr id="5" name="Usage_Date 6">
              <a:extLst>
                <a:ext uri="{FF2B5EF4-FFF2-40B4-BE49-F238E27FC236}">
                  <a16:creationId xmlns:a16="http://schemas.microsoft.com/office/drawing/2014/main" id="{9AB244BE-FD61-1B0E-B818-51EF88A8F78B}"/>
                </a:ext>
              </a:extLst>
            </xdr:cNvPr>
            <xdr:cNvGraphicFramePr/>
          </xdr:nvGraphicFramePr>
          <xdr:xfrm>
            <a:off x="0" y="0"/>
            <a:ext cx="0" cy="0"/>
          </xdr:xfrm>
          <a:graphic>
            <a:graphicData uri="http://schemas.microsoft.com/office/drawing/2010/slicer">
              <sle:slicer xmlns:sle="http://schemas.microsoft.com/office/drawing/2010/slicer" name="Usage_Date 6"/>
            </a:graphicData>
          </a:graphic>
        </xdr:graphicFrame>
      </mc:Choice>
      <mc:Fallback>
        <xdr:sp macro="" textlink="">
          <xdr:nvSpPr>
            <xdr:cNvPr id="0" name=""/>
            <xdr:cNvSpPr>
              <a:spLocks noTextEdit="1"/>
            </xdr:cNvSpPr>
          </xdr:nvSpPr>
          <xdr:spPr>
            <a:xfrm>
              <a:off x="3085192" y="716219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454328</xdr:colOff>
      <xdr:row>38</xdr:row>
      <xdr:rowOff>106287</xdr:rowOff>
    </xdr:from>
    <xdr:to>
      <xdr:col>14</xdr:col>
      <xdr:colOff>127756</xdr:colOff>
      <xdr:row>53</xdr:row>
      <xdr:rowOff>128059</xdr:rowOff>
    </xdr:to>
    <xdr:graphicFrame macro="">
      <xdr:nvGraphicFramePr>
        <xdr:cNvPr id="7" name="Chart 6">
          <a:extLst>
            <a:ext uri="{FF2B5EF4-FFF2-40B4-BE49-F238E27FC236}">
              <a16:creationId xmlns:a16="http://schemas.microsoft.com/office/drawing/2014/main" id="{966E75E0-FB4E-C884-1D71-90E37B335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50800</xdr:colOff>
      <xdr:row>4</xdr:row>
      <xdr:rowOff>76200</xdr:rowOff>
    </xdr:from>
    <xdr:to>
      <xdr:col>13</xdr:col>
      <xdr:colOff>57150</xdr:colOff>
      <xdr:row>10</xdr:row>
      <xdr:rowOff>38100</xdr:rowOff>
    </xdr:to>
    <xdr:grpSp>
      <xdr:nvGrpSpPr>
        <xdr:cNvPr id="7" name="Group 6">
          <a:extLst>
            <a:ext uri="{FF2B5EF4-FFF2-40B4-BE49-F238E27FC236}">
              <a16:creationId xmlns:a16="http://schemas.microsoft.com/office/drawing/2014/main" id="{CD775089-96E1-577F-7B8F-54D61DB7A070}"/>
            </a:ext>
          </a:extLst>
        </xdr:cNvPr>
        <xdr:cNvGrpSpPr/>
      </xdr:nvGrpSpPr>
      <xdr:grpSpPr>
        <a:xfrm>
          <a:off x="6146800" y="812800"/>
          <a:ext cx="1835150" cy="1066800"/>
          <a:chOff x="6146800" y="812800"/>
          <a:chExt cx="1835150" cy="1066800"/>
        </a:xfrm>
      </xdr:grpSpPr>
      <xdr:sp macro="" textlink="">
        <xdr:nvSpPr>
          <xdr:cNvPr id="12" name="Rectangle: Rounded Corners 11">
            <a:extLst>
              <a:ext uri="{FF2B5EF4-FFF2-40B4-BE49-F238E27FC236}">
                <a16:creationId xmlns:a16="http://schemas.microsoft.com/office/drawing/2014/main" id="{AF91224D-FD39-4876-9009-15C18AECB116}"/>
              </a:ext>
            </a:extLst>
          </xdr:cNvPr>
          <xdr:cNvSpPr/>
        </xdr:nvSpPr>
        <xdr:spPr>
          <a:xfrm>
            <a:off x="6146800" y="812800"/>
            <a:ext cx="1835150" cy="106680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sp macro="" textlink="">
        <xdr:nvSpPr>
          <xdr:cNvPr id="13" name="TextBox 12">
            <a:extLst>
              <a:ext uri="{FF2B5EF4-FFF2-40B4-BE49-F238E27FC236}">
                <a16:creationId xmlns:a16="http://schemas.microsoft.com/office/drawing/2014/main" id="{3A8DADA8-191D-4EEC-9719-D7C2F9344B9D}"/>
              </a:ext>
            </a:extLst>
          </xdr:cNvPr>
          <xdr:cNvSpPr txBox="1"/>
        </xdr:nvSpPr>
        <xdr:spPr>
          <a:xfrm>
            <a:off x="6267450" y="876300"/>
            <a:ext cx="15748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RIGION</a:t>
            </a:r>
          </a:p>
        </xdr:txBody>
      </xdr:sp>
      <xdr:sp macro="" textlink="">
        <xdr:nvSpPr>
          <xdr:cNvPr id="14" name="TextBox 13">
            <a:extLst>
              <a:ext uri="{FF2B5EF4-FFF2-40B4-BE49-F238E27FC236}">
                <a16:creationId xmlns:a16="http://schemas.microsoft.com/office/drawing/2014/main" id="{9BF8C459-E9B7-4F85-8A37-F3315BA7CB32}"/>
              </a:ext>
            </a:extLst>
          </xdr:cNvPr>
          <xdr:cNvSpPr txBox="1"/>
        </xdr:nvSpPr>
        <xdr:spPr>
          <a:xfrm>
            <a:off x="6464300" y="1225550"/>
            <a:ext cx="113665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1..MOGADISHU</a:t>
            </a:r>
          </a:p>
          <a:p>
            <a:r>
              <a:rPr lang="en-US" sz="1100" baseline="0"/>
              <a:t>   3433.1</a:t>
            </a:r>
          </a:p>
          <a:p>
            <a:endParaRPr lang="en-US" sz="1100"/>
          </a:p>
        </xdr:txBody>
      </xdr:sp>
    </xdr:grpSp>
    <xdr:clientData/>
  </xdr:twoCellAnchor>
  <xdr:twoCellAnchor>
    <xdr:from>
      <xdr:col>7</xdr:col>
      <xdr:colOff>342900</xdr:colOff>
      <xdr:row>11</xdr:row>
      <xdr:rowOff>6350</xdr:rowOff>
    </xdr:from>
    <xdr:to>
      <xdr:col>14</xdr:col>
      <xdr:colOff>247801</xdr:colOff>
      <xdr:row>27</xdr:row>
      <xdr:rowOff>171450</xdr:rowOff>
    </xdr:to>
    <xdr:graphicFrame macro="">
      <xdr:nvGraphicFramePr>
        <xdr:cNvPr id="15" name="Chart 14">
          <a:extLst>
            <a:ext uri="{FF2B5EF4-FFF2-40B4-BE49-F238E27FC236}">
              <a16:creationId xmlns:a16="http://schemas.microsoft.com/office/drawing/2014/main" id="{1ACE63A4-FFA6-4A6B-BD4E-332FBBE25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31750</xdr:rowOff>
    </xdr:from>
    <xdr:to>
      <xdr:col>2</xdr:col>
      <xdr:colOff>361950</xdr:colOff>
      <xdr:row>11</xdr:row>
      <xdr:rowOff>171450</xdr:rowOff>
    </xdr:to>
    <mc:AlternateContent xmlns:mc="http://schemas.openxmlformats.org/markup-compatibility/2006" xmlns:a14="http://schemas.microsoft.com/office/drawing/2010/main">
      <mc:Choice Requires="a14">
        <xdr:graphicFrame macro="">
          <xdr:nvGraphicFramePr>
            <xdr:cNvPr id="16" name="Usage_Date 1">
              <a:extLst>
                <a:ext uri="{FF2B5EF4-FFF2-40B4-BE49-F238E27FC236}">
                  <a16:creationId xmlns:a16="http://schemas.microsoft.com/office/drawing/2014/main" id="{4B1A48F1-A908-4ECC-844E-2130FB8DAA44}"/>
                </a:ext>
              </a:extLst>
            </xdr:cNvPr>
            <xdr:cNvGraphicFramePr/>
          </xdr:nvGraphicFramePr>
          <xdr:xfrm>
            <a:off x="0" y="0"/>
            <a:ext cx="0" cy="0"/>
          </xdr:xfrm>
          <a:graphic>
            <a:graphicData uri="http://schemas.microsoft.com/office/drawing/2010/slicer">
              <sle:slicer xmlns:sle="http://schemas.microsoft.com/office/drawing/2010/slicer" name="Usage_Date 1"/>
            </a:graphicData>
          </a:graphic>
        </xdr:graphicFrame>
      </mc:Choice>
      <mc:Fallback xmlns="">
        <xdr:sp macro="" textlink="">
          <xdr:nvSpPr>
            <xdr:cNvPr id="0" name=""/>
            <xdr:cNvSpPr>
              <a:spLocks noTextEdit="1"/>
            </xdr:cNvSpPr>
          </xdr:nvSpPr>
          <xdr:spPr>
            <a:xfrm>
              <a:off x="0" y="31750"/>
              <a:ext cx="1581150" cy="216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xdr:row>
      <xdr:rowOff>0</xdr:rowOff>
    </xdr:from>
    <xdr:to>
      <xdr:col>2</xdr:col>
      <xdr:colOff>514350</xdr:colOff>
      <xdr:row>12</xdr:row>
      <xdr:rowOff>139700</xdr:rowOff>
    </xdr:to>
    <mc:AlternateContent xmlns:mc="http://schemas.openxmlformats.org/markup-compatibility/2006" xmlns:a14="http://schemas.microsoft.com/office/drawing/2010/main">
      <mc:Choice Requires="a14">
        <xdr:graphicFrame macro="">
          <xdr:nvGraphicFramePr>
            <xdr:cNvPr id="21" name="Usage_Date 2">
              <a:extLst>
                <a:ext uri="{FF2B5EF4-FFF2-40B4-BE49-F238E27FC236}">
                  <a16:creationId xmlns:a16="http://schemas.microsoft.com/office/drawing/2014/main" id="{3C45917C-B3CE-4B3A-9294-116D717697D3}"/>
                </a:ext>
              </a:extLst>
            </xdr:cNvPr>
            <xdr:cNvGraphicFramePr/>
          </xdr:nvGraphicFramePr>
          <xdr:xfrm>
            <a:off x="0" y="0"/>
            <a:ext cx="0" cy="0"/>
          </xdr:xfrm>
          <a:graphic>
            <a:graphicData uri="http://schemas.microsoft.com/office/drawing/2010/slicer">
              <sle:slicer xmlns:sle="http://schemas.microsoft.com/office/drawing/2010/slicer" name="Usage_Date 2"/>
            </a:graphicData>
          </a:graphic>
        </xdr:graphicFrame>
      </mc:Choice>
      <mc:Fallback xmlns="">
        <xdr:sp macro="" textlink="">
          <xdr:nvSpPr>
            <xdr:cNvPr id="0" name=""/>
            <xdr:cNvSpPr>
              <a:spLocks noTextEdit="1"/>
            </xdr:cNvSpPr>
          </xdr:nvSpPr>
          <xdr:spPr>
            <a:xfrm>
              <a:off x="152400" y="184150"/>
              <a:ext cx="1581150" cy="216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1</xdr:row>
      <xdr:rowOff>152400</xdr:rowOff>
    </xdr:from>
    <xdr:to>
      <xdr:col>3</xdr:col>
      <xdr:colOff>57150</xdr:colOff>
      <xdr:row>13</xdr:row>
      <xdr:rowOff>107950</xdr:rowOff>
    </xdr:to>
    <mc:AlternateContent xmlns:mc="http://schemas.openxmlformats.org/markup-compatibility/2006" xmlns:a14="http://schemas.microsoft.com/office/drawing/2010/main">
      <mc:Choice Requires="a14">
        <xdr:graphicFrame macro="">
          <xdr:nvGraphicFramePr>
            <xdr:cNvPr id="23" name="Usage_Date 3">
              <a:extLst>
                <a:ext uri="{FF2B5EF4-FFF2-40B4-BE49-F238E27FC236}">
                  <a16:creationId xmlns:a16="http://schemas.microsoft.com/office/drawing/2014/main" id="{9EA96401-37E9-4435-AF86-699D467419B3}"/>
                </a:ext>
              </a:extLst>
            </xdr:cNvPr>
            <xdr:cNvGraphicFramePr/>
          </xdr:nvGraphicFramePr>
          <xdr:xfrm>
            <a:off x="0" y="0"/>
            <a:ext cx="0" cy="0"/>
          </xdr:xfrm>
          <a:graphic>
            <a:graphicData uri="http://schemas.microsoft.com/office/drawing/2010/slicer">
              <sle:slicer xmlns:sle="http://schemas.microsoft.com/office/drawing/2010/slicer" name="Usage_Date 3"/>
            </a:graphicData>
          </a:graphic>
        </xdr:graphicFrame>
      </mc:Choice>
      <mc:Fallback xmlns="">
        <xdr:sp macro="" textlink="">
          <xdr:nvSpPr>
            <xdr:cNvPr id="0" name=""/>
            <xdr:cNvSpPr>
              <a:spLocks noTextEdit="1"/>
            </xdr:cNvSpPr>
          </xdr:nvSpPr>
          <xdr:spPr>
            <a:xfrm>
              <a:off x="304800" y="336550"/>
              <a:ext cx="1581150" cy="216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457200</xdr:colOff>
      <xdr:row>2</xdr:row>
      <xdr:rowOff>120650</xdr:rowOff>
    </xdr:from>
    <xdr:to>
      <xdr:col>3</xdr:col>
      <xdr:colOff>209550</xdr:colOff>
      <xdr:row>14</xdr:row>
      <xdr:rowOff>76200</xdr:rowOff>
    </xdr:to>
    <mc:AlternateContent xmlns:mc="http://schemas.openxmlformats.org/markup-compatibility/2006" xmlns:a14="http://schemas.microsoft.com/office/drawing/2010/main">
      <mc:Choice Requires="a14">
        <xdr:graphicFrame macro="">
          <xdr:nvGraphicFramePr>
            <xdr:cNvPr id="24" name="Usage_Date 4">
              <a:extLst>
                <a:ext uri="{FF2B5EF4-FFF2-40B4-BE49-F238E27FC236}">
                  <a16:creationId xmlns:a16="http://schemas.microsoft.com/office/drawing/2014/main" id="{BF205754-DAE0-4A71-8FBB-9DA2D3C9A1AE}"/>
                </a:ext>
              </a:extLst>
            </xdr:cNvPr>
            <xdr:cNvGraphicFramePr/>
          </xdr:nvGraphicFramePr>
          <xdr:xfrm>
            <a:off x="0" y="0"/>
            <a:ext cx="0" cy="0"/>
          </xdr:xfrm>
          <a:graphic>
            <a:graphicData uri="http://schemas.microsoft.com/office/drawing/2010/slicer">
              <sle:slicer xmlns:sle="http://schemas.microsoft.com/office/drawing/2010/slicer" name="Usage_Date 4"/>
            </a:graphicData>
          </a:graphic>
        </xdr:graphicFrame>
      </mc:Choice>
      <mc:Fallback xmlns="">
        <xdr:sp macro="" textlink="">
          <xdr:nvSpPr>
            <xdr:cNvPr id="0" name=""/>
            <xdr:cNvSpPr>
              <a:spLocks noTextEdit="1"/>
            </xdr:cNvSpPr>
          </xdr:nvSpPr>
          <xdr:spPr>
            <a:xfrm>
              <a:off x="457200" y="488950"/>
              <a:ext cx="1581150" cy="216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31750</xdr:rowOff>
    </xdr:from>
    <xdr:to>
      <xdr:col>13</xdr:col>
      <xdr:colOff>12700</xdr:colOff>
      <xdr:row>29</xdr:row>
      <xdr:rowOff>107950</xdr:rowOff>
    </xdr:to>
    <xdr:grpSp>
      <xdr:nvGrpSpPr>
        <xdr:cNvPr id="22" name="Group 21">
          <a:extLst>
            <a:ext uri="{FF2B5EF4-FFF2-40B4-BE49-F238E27FC236}">
              <a16:creationId xmlns:a16="http://schemas.microsoft.com/office/drawing/2014/main" id="{B520CDF7-2FA7-7E03-47BB-E40750FF3D5A}"/>
            </a:ext>
          </a:extLst>
        </xdr:cNvPr>
        <xdr:cNvGrpSpPr/>
      </xdr:nvGrpSpPr>
      <xdr:grpSpPr>
        <a:xfrm>
          <a:off x="0" y="31750"/>
          <a:ext cx="7937500" cy="5416550"/>
          <a:chOff x="0" y="0"/>
          <a:chExt cx="7937500" cy="5416550"/>
        </a:xfrm>
      </xdr:grpSpPr>
      <xdr:grpSp>
        <xdr:nvGrpSpPr>
          <xdr:cNvPr id="8" name="Group 7">
            <a:extLst>
              <a:ext uri="{FF2B5EF4-FFF2-40B4-BE49-F238E27FC236}">
                <a16:creationId xmlns:a16="http://schemas.microsoft.com/office/drawing/2014/main" id="{4F822BE8-AF83-E388-7CD5-15D93B62DAC5}"/>
              </a:ext>
            </a:extLst>
          </xdr:cNvPr>
          <xdr:cNvGrpSpPr/>
        </xdr:nvGrpSpPr>
        <xdr:grpSpPr>
          <a:xfrm>
            <a:off x="0" y="0"/>
            <a:ext cx="7937500" cy="863600"/>
            <a:chOff x="0" y="0"/>
            <a:chExt cx="7937500" cy="863600"/>
          </a:xfrm>
        </xdr:grpSpPr>
        <xdr:sp macro="" textlink="">
          <xdr:nvSpPr>
            <xdr:cNvPr id="3" name="Rectangle 2">
              <a:extLst>
                <a:ext uri="{FF2B5EF4-FFF2-40B4-BE49-F238E27FC236}">
                  <a16:creationId xmlns:a16="http://schemas.microsoft.com/office/drawing/2014/main" id="{CD262177-4FE2-4D62-84C1-1015E1AAA9FC}"/>
                </a:ext>
              </a:extLst>
            </xdr:cNvPr>
            <xdr:cNvSpPr/>
          </xdr:nvSpPr>
          <xdr:spPr>
            <a:xfrm>
              <a:off x="0" y="0"/>
              <a:ext cx="7937500" cy="863600"/>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5966C3E8-60E8-A22C-82EC-1DA33B57B9FE}"/>
                </a:ext>
              </a:extLst>
            </xdr:cNvPr>
            <xdr:cNvSpPr txBox="1"/>
          </xdr:nvSpPr>
          <xdr:spPr>
            <a:xfrm>
              <a:off x="1752600" y="184150"/>
              <a:ext cx="467995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latin typeface="+mj-lt"/>
                </a:rPr>
                <a:t>Dashpout</a:t>
              </a:r>
              <a:r>
                <a:rPr lang="en-US" sz="2800" baseline="0">
                  <a:latin typeface="+mj-lt"/>
                </a:rPr>
                <a:t> analysis</a:t>
              </a:r>
              <a:endParaRPr lang="en-US" sz="2800">
                <a:latin typeface="+mj-lt"/>
              </a:endParaRPr>
            </a:p>
          </xdr:txBody>
        </xdr:sp>
      </xdr:grpSp>
      <xdr:grpSp>
        <xdr:nvGrpSpPr>
          <xdr:cNvPr id="6" name="Group 5">
            <a:extLst>
              <a:ext uri="{FF2B5EF4-FFF2-40B4-BE49-F238E27FC236}">
                <a16:creationId xmlns:a16="http://schemas.microsoft.com/office/drawing/2014/main" id="{56606681-A3C9-7606-6AD7-E3AEA5E3D27E}"/>
              </a:ext>
            </a:extLst>
          </xdr:cNvPr>
          <xdr:cNvGrpSpPr/>
        </xdr:nvGrpSpPr>
        <xdr:grpSpPr>
          <a:xfrm>
            <a:off x="1123950" y="787400"/>
            <a:ext cx="1835150" cy="1066800"/>
            <a:chOff x="1123950" y="787400"/>
            <a:chExt cx="1835150" cy="1066800"/>
          </a:xfrm>
        </xdr:grpSpPr>
        <xdr:sp macro="" textlink="">
          <xdr:nvSpPr>
            <xdr:cNvPr id="4" name="Rectangle: Rounded Corners 3">
              <a:extLst>
                <a:ext uri="{FF2B5EF4-FFF2-40B4-BE49-F238E27FC236}">
                  <a16:creationId xmlns:a16="http://schemas.microsoft.com/office/drawing/2014/main" id="{0291E133-4BB0-2EF5-5DBB-7F24BEE668F2}"/>
                </a:ext>
              </a:extLst>
            </xdr:cNvPr>
            <xdr:cNvSpPr/>
          </xdr:nvSpPr>
          <xdr:spPr>
            <a:xfrm>
              <a:off x="1123950" y="787400"/>
              <a:ext cx="1835150" cy="106680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sp macro="" textlink="">
          <xdr:nvSpPr>
            <xdr:cNvPr id="10" name="TextBox 9">
              <a:extLst>
                <a:ext uri="{FF2B5EF4-FFF2-40B4-BE49-F238E27FC236}">
                  <a16:creationId xmlns:a16="http://schemas.microsoft.com/office/drawing/2014/main" id="{A4CE8516-FABF-BDC6-B316-4BDA752597D5}"/>
                </a:ext>
              </a:extLst>
            </xdr:cNvPr>
            <xdr:cNvSpPr txBox="1"/>
          </xdr:nvSpPr>
          <xdr:spPr>
            <a:xfrm>
              <a:off x="1244600" y="850900"/>
              <a:ext cx="1574800" cy="29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ROW LEPALLS</a:t>
              </a:r>
            </a:p>
          </xdr:txBody>
        </xdr:sp>
        <xdr:sp macro="" textlink="">
          <xdr:nvSpPr>
            <xdr:cNvPr id="11" name="TextBox 10">
              <a:extLst>
                <a:ext uri="{FF2B5EF4-FFF2-40B4-BE49-F238E27FC236}">
                  <a16:creationId xmlns:a16="http://schemas.microsoft.com/office/drawing/2014/main" id="{EC1ABBA3-EF82-7C1B-1C2B-10CA8E188DA7}"/>
                </a:ext>
              </a:extLst>
            </xdr:cNvPr>
            <xdr:cNvSpPr txBox="1"/>
          </xdr:nvSpPr>
          <xdr:spPr>
            <a:xfrm>
              <a:off x="1441450" y="1200150"/>
              <a:ext cx="113665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1..INDIVIDUAL</a:t>
              </a:r>
            </a:p>
            <a:p>
              <a:r>
                <a:rPr lang="en-US" sz="1100" baseline="0"/>
                <a:t>   3957..4</a:t>
              </a:r>
            </a:p>
            <a:p>
              <a:endParaRPr lang="en-US" sz="1100"/>
            </a:p>
          </xdr:txBody>
        </xdr:sp>
      </xdr:grpSp>
      <xdr:graphicFrame macro="">
        <xdr:nvGraphicFramePr>
          <xdr:cNvPr id="17" name="Chart 16">
            <a:extLst>
              <a:ext uri="{FF2B5EF4-FFF2-40B4-BE49-F238E27FC236}">
                <a16:creationId xmlns:a16="http://schemas.microsoft.com/office/drawing/2014/main" id="{B5A9C208-1D95-4B0B-AFB1-5B19EAB0BABB}"/>
              </a:ext>
            </a:extLst>
          </xdr:cNvPr>
          <xdr:cNvGraphicFramePr>
            <a:graphicFrameLocks/>
          </xdr:cNvGraphicFramePr>
        </xdr:nvGraphicFramePr>
        <xdr:xfrm>
          <a:off x="1162051" y="2006600"/>
          <a:ext cx="3225799" cy="3136900"/>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9" name="Group 8">
            <a:extLst>
              <a:ext uri="{FF2B5EF4-FFF2-40B4-BE49-F238E27FC236}">
                <a16:creationId xmlns:a16="http://schemas.microsoft.com/office/drawing/2014/main" id="{E14A368F-63E8-33DA-8396-16D5D5AAD171}"/>
              </a:ext>
            </a:extLst>
          </xdr:cNvPr>
          <xdr:cNvGrpSpPr/>
        </xdr:nvGrpSpPr>
        <xdr:grpSpPr>
          <a:xfrm>
            <a:off x="0" y="0"/>
            <a:ext cx="1149350" cy="5416550"/>
            <a:chOff x="0" y="0"/>
            <a:chExt cx="1149350" cy="5416550"/>
          </a:xfrm>
        </xdr:grpSpPr>
        <xdr:sp macro="" textlink="">
          <xdr:nvSpPr>
            <xdr:cNvPr id="2" name="Rectangle 1">
              <a:extLst>
                <a:ext uri="{FF2B5EF4-FFF2-40B4-BE49-F238E27FC236}">
                  <a16:creationId xmlns:a16="http://schemas.microsoft.com/office/drawing/2014/main" id="{87210B21-8F7E-31C1-18A7-E150AB141AC7}"/>
                </a:ext>
              </a:extLst>
            </xdr:cNvPr>
            <xdr:cNvSpPr/>
          </xdr:nvSpPr>
          <xdr:spPr>
            <a:xfrm rot="16200000">
              <a:off x="-2133600" y="2133600"/>
              <a:ext cx="5416550" cy="1149350"/>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19" name="User_Type 1">
                  <a:extLst>
                    <a:ext uri="{FF2B5EF4-FFF2-40B4-BE49-F238E27FC236}">
                      <a16:creationId xmlns:a16="http://schemas.microsoft.com/office/drawing/2014/main" id="{890AACB5-6251-4836-9EB1-6E877EFB7AC9}"/>
                    </a:ext>
                  </a:extLst>
                </xdr:cNvPr>
                <xdr:cNvGraphicFramePr/>
              </xdr:nvGraphicFramePr>
              <xdr:xfrm>
                <a:off x="0" y="0"/>
                <a:ext cx="1117600" cy="1295400"/>
              </xdr:xfrm>
              <a:graphic>
                <a:graphicData uri="http://schemas.microsoft.com/office/drawing/2010/slicer">
                  <sle:slicer xmlns:sle="http://schemas.microsoft.com/office/drawing/2010/slicer" name="User_Type 1"/>
                </a:graphicData>
              </a:graphic>
            </xdr:graphicFrame>
          </mc:Choice>
          <mc:Fallback>
            <xdr:sp macro="" textlink="">
              <xdr:nvSpPr>
                <xdr:cNvPr id="0" name=""/>
                <xdr:cNvSpPr>
                  <a:spLocks noTextEdit="1"/>
                </xdr:cNvSpPr>
              </xdr:nvSpPr>
              <xdr:spPr>
                <a:xfrm>
                  <a:off x="0" y="31750"/>
                  <a:ext cx="11176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73C84F8E-C335-4A93-96DC-994B70EBF673}"/>
                    </a:ext>
                  </a:extLst>
                </xdr:cNvPr>
                <xdr:cNvGraphicFramePr/>
              </xdr:nvGraphicFramePr>
              <xdr:xfrm>
                <a:off x="25401" y="1219200"/>
                <a:ext cx="1085849" cy="241300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401" y="1250950"/>
                  <a:ext cx="1085849" cy="241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editAs="oneCell">
    <xdr:from>
      <xdr:col>0</xdr:col>
      <xdr:colOff>19050</xdr:colOff>
      <xdr:row>18</xdr:row>
      <xdr:rowOff>158750</xdr:rowOff>
    </xdr:from>
    <xdr:to>
      <xdr:col>1</xdr:col>
      <xdr:colOff>495300</xdr:colOff>
      <xdr:row>47</xdr:row>
      <xdr:rowOff>101599</xdr:rowOff>
    </xdr:to>
    <mc:AlternateContent xmlns:mc="http://schemas.openxmlformats.org/markup-compatibility/2006">
      <mc:Choice xmlns:a14="http://schemas.microsoft.com/office/drawing/2010/main" Requires="a14">
        <xdr:graphicFrame macro="">
          <xdr:nvGraphicFramePr>
            <xdr:cNvPr id="28" name="Usage_Date 8">
              <a:extLst>
                <a:ext uri="{FF2B5EF4-FFF2-40B4-BE49-F238E27FC236}">
                  <a16:creationId xmlns:a16="http://schemas.microsoft.com/office/drawing/2014/main" id="{5D608059-4EE8-4C1E-AF1D-FBC9B78F8A32}"/>
                </a:ext>
              </a:extLst>
            </xdr:cNvPr>
            <xdr:cNvGraphicFramePr/>
          </xdr:nvGraphicFramePr>
          <xdr:xfrm>
            <a:off x="0" y="0"/>
            <a:ext cx="0" cy="0"/>
          </xdr:xfrm>
          <a:graphic>
            <a:graphicData uri="http://schemas.microsoft.com/office/drawing/2010/slicer">
              <sle:slicer xmlns:sle="http://schemas.microsoft.com/office/drawing/2010/slicer" name="Usage_Date 8"/>
            </a:graphicData>
          </a:graphic>
        </xdr:graphicFrame>
      </mc:Choice>
      <mc:Fallback>
        <xdr:sp macro="" textlink="">
          <xdr:nvSpPr>
            <xdr:cNvPr id="0" name=""/>
            <xdr:cNvSpPr>
              <a:spLocks noTextEdit="1"/>
            </xdr:cNvSpPr>
          </xdr:nvSpPr>
          <xdr:spPr>
            <a:xfrm>
              <a:off x="19050" y="3473450"/>
              <a:ext cx="1085850" cy="5283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501650</xdr:colOff>
      <xdr:row>29</xdr:row>
      <xdr:rowOff>25400</xdr:rowOff>
    </xdr:from>
    <xdr:to>
      <xdr:col>8</xdr:col>
      <xdr:colOff>285750</xdr:colOff>
      <xdr:row>42</xdr:row>
      <xdr:rowOff>158750</xdr:rowOff>
    </xdr:to>
    <xdr:graphicFrame macro="">
      <xdr:nvGraphicFramePr>
        <xdr:cNvPr id="29" name="Chart 28">
          <a:extLst>
            <a:ext uri="{FF2B5EF4-FFF2-40B4-BE49-F238E27FC236}">
              <a16:creationId xmlns:a16="http://schemas.microsoft.com/office/drawing/2014/main" id="{8EFD5845-CAE1-4A16-9624-E69879FCB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59.441546875001" createdVersion="8" refreshedVersion="8" minRefreshableVersion="3" recordCount="282" xr:uid="{017B113A-AAC5-4CB6-AB54-32E47B59980B}">
  <cacheSource type="worksheet">
    <worksheetSource ref="A1:I283" sheet="cleaned data"/>
  </cacheSource>
  <cacheFields count="12">
    <cacheField name="User_ID" numFmtId="0">
      <sharedItems/>
    </cacheField>
    <cacheField name="Usage_Date" numFmtId="164">
      <sharedItems containsSemiMixedTypes="0" containsNonDate="0" containsDate="1" containsString="0" minDate="2025-01-01T00:00:00" maxDate="2026-07-27T00:00:00" count="228">
        <d v="2026-06-15T00:00:00"/>
        <d v="2025-03-04T00:00:00"/>
        <d v="2025-09-03T00:00:00"/>
        <d v="2025-05-19T00:00:00"/>
        <d v="2026-04-13T00:00:00"/>
        <d v="2025-12-06T00:00:00"/>
        <d v="2026-04-22T00:00:00"/>
        <d v="2025-01-03T00:00:00"/>
        <d v="2025-02-09T00:00:00"/>
        <d v="2026-01-13T00:00:00"/>
        <d v="2026-07-24T00:00:00"/>
        <d v="2025-03-08T00:00:00"/>
        <d v="2026-04-20T00:00:00"/>
        <d v="2025-09-29T00:00:00"/>
        <d v="2025-03-25T00:00:00"/>
        <d v="2026-05-12T00:00:00"/>
        <d v="2025-02-15T00:00:00"/>
        <d v="2025-01-12T00:00:00"/>
        <d v="2025-08-01T00:00:00"/>
        <d v="2025-11-05T00:00:00"/>
        <d v="2026-07-16T00:00:00"/>
        <d v="2026-05-16T00:00:00"/>
        <d v="2026-06-23T00:00:00"/>
        <d v="2025-11-28T00:00:00"/>
        <d v="2025-09-19T00:00:00"/>
        <d v="2025-01-02T00:00:00"/>
        <d v="2025-07-26T00:00:00"/>
        <d v="2026-06-12T00:00:00"/>
        <d v="2025-04-12T00:00:00"/>
        <d v="2026-06-18T00:00:00"/>
        <d v="2026-05-03T00:00:00"/>
        <d v="2025-06-20T00:00:00"/>
        <d v="2026-01-02T00:00:00"/>
        <d v="2025-03-06T00:00:00"/>
        <d v="2026-02-06T00:00:00"/>
        <d v="2025-10-28T00:00:00"/>
        <d v="2025-12-11T00:00:00"/>
        <d v="2026-05-11T00:00:00"/>
        <d v="2026-05-18T00:00:00"/>
        <d v="2025-10-13T00:00:00"/>
        <d v="2026-01-03T00:00:00"/>
        <d v="2025-11-17T00:00:00"/>
        <d v="2025-03-15T00:00:00"/>
        <d v="2025-06-30T00:00:00"/>
        <d v="2025-01-13T00:00:00"/>
        <d v="2026-07-26T00:00:00"/>
        <d v="2026-05-20T00:00:00"/>
        <d v="2026-07-22T00:00:00"/>
        <d v="2025-09-06T00:00:00"/>
        <d v="2025-01-08T00:00:00"/>
        <d v="2026-06-04T00:00:00"/>
        <d v="2026-07-25T00:00:00"/>
        <d v="2026-01-30T00:00:00"/>
        <d v="2025-03-28T00:00:00"/>
        <d v="2025-01-26T00:00:00"/>
        <d v="2025-02-21T00:00:00"/>
        <d v="2025-12-10T00:00:00"/>
        <d v="2025-03-10T00:00:00"/>
        <d v="2025-07-02T00:00:00"/>
        <d v="2026-07-03T00:00:00"/>
        <d v="2025-12-09T00:00:00"/>
        <d v="2026-06-10T00:00:00"/>
        <d v="2025-08-14T00:00:00"/>
        <d v="2026-01-27T00:00:00"/>
        <d v="2025-11-30T00:00:00"/>
        <d v="2026-01-15T00:00:00"/>
        <d v="2026-01-11T00:00:00"/>
        <d v="2026-04-25T00:00:00"/>
        <d v="2025-01-10T00:00:00"/>
        <d v="2026-04-08T00:00:00"/>
        <d v="2025-02-20T00:00:00"/>
        <d v="2025-12-07T00:00:00"/>
        <d v="2025-08-15T00:00:00"/>
        <d v="2026-01-22T00:00:00"/>
        <d v="2025-05-06T00:00:00"/>
        <d v="2025-11-11T00:00:00"/>
        <d v="2025-11-07T00:00:00"/>
        <d v="2025-03-03T00:00:00"/>
        <d v="2026-06-26T00:00:00"/>
        <d v="2025-01-04T00:00:00"/>
        <d v="2025-10-04T00:00:00"/>
        <d v="2025-05-23T00:00:00"/>
        <d v="2025-06-28T00:00:00"/>
        <d v="2025-01-06T00:00:00"/>
        <d v="2025-03-12T00:00:00"/>
        <d v="2025-09-17T00:00:00"/>
        <d v="2025-11-25T00:00:00"/>
        <d v="2025-08-21T00:00:00"/>
        <d v="2025-09-21T00:00:00"/>
        <d v="2026-07-01T00:00:00"/>
        <d v="2025-02-25T00:00:00"/>
        <d v="2025-03-18T00:00:00"/>
        <d v="2025-03-31T00:00:00"/>
        <d v="2026-05-27T00:00:00"/>
        <d v="2025-07-03T00:00:00"/>
        <d v="2026-02-19T00:00:00"/>
        <d v="2025-04-24T00:00:00"/>
        <d v="2026-05-13T00:00:00"/>
        <d v="2026-02-04T00:00:00"/>
        <d v="2025-04-04T00:00:00"/>
        <d v="2025-10-29T00:00:00"/>
        <d v="2026-06-27T00:00:00"/>
        <d v="2025-09-11T00:00:00"/>
        <d v="2025-07-13T00:00:00"/>
        <d v="2026-01-23T00:00:00"/>
        <d v="2025-06-06T00:00:00"/>
        <d v="2025-12-04T00:00:00"/>
        <d v="2025-06-02T00:00:00"/>
        <d v="2025-10-06T00:00:00"/>
        <d v="2026-05-01T00:00:00"/>
        <d v="2025-02-19T00:00:00"/>
        <d v="2025-04-28T00:00:00"/>
        <d v="2025-06-15T00:00:00"/>
        <d v="2026-06-28T00:00:00"/>
        <d v="2025-09-24T00:00:00"/>
        <d v="2026-01-01T00:00:00"/>
        <d v="2025-10-16T00:00:00"/>
        <d v="2025-08-28T00:00:00"/>
        <d v="2026-06-21T00:00:00"/>
        <d v="2025-02-24T00:00:00"/>
        <d v="2025-07-19T00:00:00"/>
        <d v="2026-05-02T00:00:00"/>
        <d v="2026-05-22T00:00:00"/>
        <d v="2025-10-15T00:00:00"/>
        <d v="2026-06-22T00:00:00"/>
        <d v="2025-08-17T00:00:00"/>
        <d v="2026-06-02T00:00:00"/>
        <d v="2025-02-10T00:00:00"/>
        <d v="2026-07-23T00:00:00"/>
        <d v="2026-01-17T00:00:00"/>
        <d v="2026-07-10T00:00:00"/>
        <d v="2025-12-08T00:00:00"/>
        <d v="2026-05-23T00:00:00"/>
        <d v="2025-03-16T00:00:00"/>
        <d v="2026-04-19T00:00:00"/>
        <d v="2025-06-03T00:00:00"/>
        <d v="2025-06-05T00:00:00"/>
        <d v="2026-04-03T00:00:00"/>
        <d v="2025-10-31T00:00:00"/>
        <d v="2025-06-01T00:00:00"/>
        <d v="2025-11-04T00:00:00"/>
        <d v="2025-10-19T00:00:00"/>
        <d v="2025-07-22T00:00:00"/>
        <d v="2025-08-30T00:00:00"/>
        <d v="2025-01-21T00:00:00"/>
        <d v="2026-02-18T00:00:00"/>
        <d v="2025-12-26T00:00:00"/>
        <d v="2026-03-06T00:00:00"/>
        <d v="2025-12-24T00:00:00"/>
        <d v="2025-01-23T00:00:00"/>
        <d v="2025-03-21T00:00:00"/>
        <d v="2025-12-13T00:00:00"/>
        <d v="2026-02-10T00:00:00"/>
        <d v="2025-11-06T00:00:00"/>
        <d v="2026-03-19T00:00:00"/>
        <d v="2026-03-21T00:00:00"/>
        <d v="2025-02-26T00:00:00"/>
        <d v="2025-12-20T00:00:00"/>
        <d v="2026-02-25T00:00:00"/>
        <d v="2026-06-07T00:00:00"/>
        <d v="2025-10-18T00:00:00"/>
        <d v="2025-12-31T00:00:00"/>
        <d v="2025-04-10T00:00:00"/>
        <d v="2026-02-05T00:00:00"/>
        <d v="2026-03-13T00:00:00"/>
        <d v="2025-08-18T00:00:00"/>
        <d v="2026-02-27T00:00:00"/>
        <d v="2025-01-15T00:00:00"/>
        <d v="2026-03-02T00:00:00"/>
        <d v="2025-11-19T00:00:00"/>
        <d v="2025-05-01T00:00:00"/>
        <d v="2026-02-28T00:00:00"/>
        <d v="2025-06-22T00:00:00"/>
        <d v="2026-04-01T00:00:00"/>
        <d v="2025-02-02T00:00:00"/>
        <d v="2025-01-01T00:00:00"/>
        <d v="2026-07-07T00:00:00"/>
        <d v="2025-02-14T00:00:00"/>
        <d v="2025-05-08T00:00:00"/>
        <d v="2026-03-03T00:00:00"/>
        <d v="2026-07-04T00:00:00"/>
        <d v="2026-04-05T00:00:00"/>
        <d v="2025-07-24T00:00:00"/>
        <d v="2025-11-08T00:00:00"/>
        <d v="2025-04-01T00:00:00"/>
        <d v="2025-11-24T00:00:00"/>
        <d v="2025-04-09T00:00:00"/>
        <d v="2025-12-30T00:00:00"/>
        <d v="2025-05-09T00:00:00"/>
        <d v="2026-01-26T00:00:00"/>
        <d v="2025-09-28T00:00:00"/>
        <d v="2025-04-26T00:00:00"/>
        <d v="2026-04-26T00:00:00"/>
        <d v="2026-05-05T00:00:00"/>
        <d v="2025-05-17T00:00:00"/>
        <d v="2026-02-13T00:00:00"/>
        <d v="2025-09-08T00:00:00"/>
        <d v="2025-10-14T00:00:00"/>
        <d v="2026-02-01T00:00:00"/>
        <d v="2025-05-21T00:00:00"/>
        <d v="2026-04-24T00:00:00"/>
        <d v="2025-09-30T00:00:00"/>
        <d v="2025-10-20T00:00:00"/>
        <d v="2025-12-22T00:00:00"/>
        <d v="2025-04-11T00:00:00"/>
        <d v="2025-12-18T00:00:00"/>
        <d v="2025-04-02T00:00:00"/>
        <d v="2025-07-05T00:00:00"/>
        <d v="2025-03-19T00:00:00"/>
        <d v="2026-05-28T00:00:00"/>
        <d v="2026-03-15T00:00:00"/>
        <d v="2025-09-01T00:00:00"/>
        <d v="2025-08-05T00:00:00"/>
        <d v="2025-03-20T00:00:00"/>
        <d v="2026-07-17T00:00:00"/>
        <d v="2026-05-26T00:00:00"/>
        <d v="2025-07-17T00:00:00"/>
        <d v="2025-08-11T00:00:00"/>
        <d v="2025-07-15T00:00:00"/>
        <d v="2025-11-21T00:00:00"/>
        <d v="2025-10-30T00:00:00"/>
        <d v="2025-06-16T00:00:00"/>
        <d v="2026-06-01T00:00:00"/>
        <d v="2025-04-18T00:00:00"/>
        <d v="2025-09-13T00:00:00"/>
        <d v="2025-04-19T00:00:00"/>
        <d v="2026-04-12T00:00:00"/>
        <d v="2025-04-21T00:00:00"/>
      </sharedItems>
      <fieldGroup par="11"/>
    </cacheField>
    <cacheField name="Region" numFmtId="0">
      <sharedItems/>
    </cacheField>
    <cacheField name="User_Type" numFmtId="0">
      <sharedItems/>
    </cacheField>
    <cacheField name="Plan_Type" numFmtId="0">
      <sharedItems/>
    </cacheField>
    <cacheField name="Data_Usage_GB" numFmtId="165">
      <sharedItems containsSemiMixedTypes="0" containsString="0" containsNumber="1" minValue="-7" maxValue="88.28"/>
    </cacheField>
    <cacheField name="Session_Hours" numFmtId="165">
      <sharedItems containsMixedTypes="1" containsNumber="1" minValue="-1" maxValue="33"/>
    </cacheField>
    <cacheField name="Total" numFmtId="165">
      <sharedItems containsSemiMixedTypes="0" containsString="0" containsNumber="1" minValue="-1.71" maxValue="92.84"/>
    </cacheField>
    <cacheField name="Avrage" numFmtId="165">
      <sharedItems containsSemiMixedTypes="0" containsString="0" containsNumber="1" minValue="1.79" maxValue="53.53"/>
    </cacheField>
    <cacheField name="Months (Usage_Date)" numFmtId="0" databaseField="0">
      <fieldGroup base="1">
        <rangePr groupBy="months" startDate="2025-01-01T00:00:00" endDate="2026-07-27T00:00:00"/>
        <groupItems count="14">
          <s v="&lt;1/1/2025"/>
          <s v="Jan"/>
          <s v="Feb"/>
          <s v="Mar"/>
          <s v="Apr"/>
          <s v="May"/>
          <s v="Jun"/>
          <s v="Jul"/>
          <s v="Aug"/>
          <s v="Sep"/>
          <s v="Oct"/>
          <s v="Nov"/>
          <s v="Dec"/>
          <s v="&gt;7/27/2026"/>
        </groupItems>
      </fieldGroup>
    </cacheField>
    <cacheField name="Quarters (Usage_Date)" numFmtId="0" databaseField="0">
      <fieldGroup base="1">
        <rangePr groupBy="quarters" startDate="2025-01-01T00:00:00" endDate="2026-07-27T00:00:00"/>
        <groupItems count="6">
          <s v="&lt;1/1/2025"/>
          <s v="Qtr1"/>
          <s v="Qtr2"/>
          <s v="Qtr3"/>
          <s v="Qtr4"/>
          <s v="&gt;7/27/2026"/>
        </groupItems>
      </fieldGroup>
    </cacheField>
    <cacheField name="Years (Usage_Date)" numFmtId="0" databaseField="0">
      <fieldGroup base="1">
        <rangePr groupBy="years" startDate="2025-01-01T00:00:00" endDate="2026-07-27T00:00:00"/>
        <groupItems count="4">
          <s v="&lt;1/1/2025"/>
          <s v="2025"/>
          <s v="2026"/>
          <s v="&gt;7/27/2026"/>
        </groupItems>
      </fieldGroup>
    </cacheField>
  </cacheFields>
  <extLst>
    <ext xmlns:x14="http://schemas.microsoft.com/office/spreadsheetml/2009/9/main" uri="{725AE2AE-9491-48be-B2B4-4EB974FC3084}">
      <x14:pivotCacheDefinition pivotCacheId="174765182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59.719427777774" createdVersion="8" refreshedVersion="8" minRefreshableVersion="3" recordCount="282" xr:uid="{63495047-E7FF-4F61-8FE6-7092B92324E7}">
  <cacheSource type="worksheet">
    <worksheetSource ref="A1:AC283" sheet="analaysis"/>
  </cacheSource>
  <cacheFields count="32">
    <cacheField name="User_ID" numFmtId="0">
      <sharedItems/>
    </cacheField>
    <cacheField name="Usage_Date" numFmtId="164">
      <sharedItems containsSemiMixedTypes="0" containsNonDate="0" containsDate="1" containsString="0" minDate="2025-01-01T00:00:00" maxDate="2026-07-27T00:00:00" count="228">
        <d v="2026-06-15T00:00:00"/>
        <d v="2025-03-04T00:00:00"/>
        <d v="2025-09-03T00:00:00"/>
        <d v="2025-05-19T00:00:00"/>
        <d v="2026-04-13T00:00:00"/>
        <d v="2025-12-06T00:00:00"/>
        <d v="2026-04-22T00:00:00"/>
        <d v="2025-01-03T00:00:00"/>
        <d v="2025-02-09T00:00:00"/>
        <d v="2026-01-13T00:00:00"/>
        <d v="2026-07-24T00:00:00"/>
        <d v="2025-03-08T00:00:00"/>
        <d v="2026-04-20T00:00:00"/>
        <d v="2025-09-29T00:00:00"/>
        <d v="2025-03-25T00:00:00"/>
        <d v="2026-05-12T00:00:00"/>
        <d v="2025-02-15T00:00:00"/>
        <d v="2025-01-12T00:00:00"/>
        <d v="2025-08-01T00:00:00"/>
        <d v="2025-11-05T00:00:00"/>
        <d v="2026-07-16T00:00:00"/>
        <d v="2026-05-16T00:00:00"/>
        <d v="2026-06-23T00:00:00"/>
        <d v="2025-11-28T00:00:00"/>
        <d v="2025-09-19T00:00:00"/>
        <d v="2025-01-02T00:00:00"/>
        <d v="2025-07-26T00:00:00"/>
        <d v="2026-06-12T00:00:00"/>
        <d v="2025-04-12T00:00:00"/>
        <d v="2026-06-18T00:00:00"/>
        <d v="2026-05-03T00:00:00"/>
        <d v="2025-06-20T00:00:00"/>
        <d v="2026-01-02T00:00:00"/>
        <d v="2025-03-06T00:00:00"/>
        <d v="2026-02-06T00:00:00"/>
        <d v="2025-10-28T00:00:00"/>
        <d v="2025-12-11T00:00:00"/>
        <d v="2026-05-11T00:00:00"/>
        <d v="2026-05-18T00:00:00"/>
        <d v="2025-10-13T00:00:00"/>
        <d v="2026-01-03T00:00:00"/>
        <d v="2025-11-17T00:00:00"/>
        <d v="2025-03-15T00:00:00"/>
        <d v="2025-06-30T00:00:00"/>
        <d v="2025-01-13T00:00:00"/>
        <d v="2026-07-26T00:00:00"/>
        <d v="2026-05-20T00:00:00"/>
        <d v="2026-07-22T00:00:00"/>
        <d v="2025-09-06T00:00:00"/>
        <d v="2025-01-08T00:00:00"/>
        <d v="2026-06-04T00:00:00"/>
        <d v="2026-07-25T00:00:00"/>
        <d v="2026-01-30T00:00:00"/>
        <d v="2025-03-28T00:00:00"/>
        <d v="2025-01-26T00:00:00"/>
        <d v="2025-02-21T00:00:00"/>
        <d v="2025-12-10T00:00:00"/>
        <d v="2025-03-10T00:00:00"/>
        <d v="2025-07-02T00:00:00"/>
        <d v="2026-07-03T00:00:00"/>
        <d v="2025-12-09T00:00:00"/>
        <d v="2026-06-10T00:00:00"/>
        <d v="2025-08-14T00:00:00"/>
        <d v="2026-01-27T00:00:00"/>
        <d v="2025-11-30T00:00:00"/>
        <d v="2026-01-15T00:00:00"/>
        <d v="2026-01-11T00:00:00"/>
        <d v="2026-04-25T00:00:00"/>
        <d v="2025-01-10T00:00:00"/>
        <d v="2026-04-08T00:00:00"/>
        <d v="2025-02-20T00:00:00"/>
        <d v="2025-12-07T00:00:00"/>
        <d v="2025-08-15T00:00:00"/>
        <d v="2026-01-22T00:00:00"/>
        <d v="2025-05-06T00:00:00"/>
        <d v="2025-11-11T00:00:00"/>
        <d v="2025-11-07T00:00:00"/>
        <d v="2025-03-03T00:00:00"/>
        <d v="2026-06-26T00:00:00"/>
        <d v="2025-01-04T00:00:00"/>
        <d v="2025-10-04T00:00:00"/>
        <d v="2025-05-23T00:00:00"/>
        <d v="2025-06-28T00:00:00"/>
        <d v="2025-01-06T00:00:00"/>
        <d v="2025-03-12T00:00:00"/>
        <d v="2025-09-17T00:00:00"/>
        <d v="2025-11-25T00:00:00"/>
        <d v="2025-08-21T00:00:00"/>
        <d v="2025-09-21T00:00:00"/>
        <d v="2026-07-01T00:00:00"/>
        <d v="2025-02-25T00:00:00"/>
        <d v="2025-03-18T00:00:00"/>
        <d v="2025-03-31T00:00:00"/>
        <d v="2026-05-27T00:00:00"/>
        <d v="2025-07-03T00:00:00"/>
        <d v="2026-02-19T00:00:00"/>
        <d v="2025-04-24T00:00:00"/>
        <d v="2026-05-13T00:00:00"/>
        <d v="2026-02-04T00:00:00"/>
        <d v="2025-04-04T00:00:00"/>
        <d v="2025-10-29T00:00:00"/>
        <d v="2026-06-27T00:00:00"/>
        <d v="2025-09-11T00:00:00"/>
        <d v="2025-07-13T00:00:00"/>
        <d v="2026-01-23T00:00:00"/>
        <d v="2025-06-06T00:00:00"/>
        <d v="2025-12-04T00:00:00"/>
        <d v="2025-06-02T00:00:00"/>
        <d v="2025-10-06T00:00:00"/>
        <d v="2026-05-01T00:00:00"/>
        <d v="2025-02-19T00:00:00"/>
        <d v="2025-04-28T00:00:00"/>
        <d v="2025-06-15T00:00:00"/>
        <d v="2026-06-28T00:00:00"/>
        <d v="2025-09-24T00:00:00"/>
        <d v="2026-01-01T00:00:00"/>
        <d v="2025-10-16T00:00:00"/>
        <d v="2025-08-28T00:00:00"/>
        <d v="2026-06-21T00:00:00"/>
        <d v="2025-02-24T00:00:00"/>
        <d v="2025-07-19T00:00:00"/>
        <d v="2026-05-02T00:00:00"/>
        <d v="2026-05-22T00:00:00"/>
        <d v="2025-10-15T00:00:00"/>
        <d v="2026-06-22T00:00:00"/>
        <d v="2025-08-17T00:00:00"/>
        <d v="2026-06-02T00:00:00"/>
        <d v="2025-02-10T00:00:00"/>
        <d v="2026-07-23T00:00:00"/>
        <d v="2026-01-17T00:00:00"/>
        <d v="2026-07-10T00:00:00"/>
        <d v="2025-12-08T00:00:00"/>
        <d v="2026-05-23T00:00:00"/>
        <d v="2025-03-16T00:00:00"/>
        <d v="2026-04-19T00:00:00"/>
        <d v="2025-06-03T00:00:00"/>
        <d v="2025-06-05T00:00:00"/>
        <d v="2026-04-03T00:00:00"/>
        <d v="2025-10-31T00:00:00"/>
        <d v="2025-06-01T00:00:00"/>
        <d v="2025-11-04T00:00:00"/>
        <d v="2025-10-19T00:00:00"/>
        <d v="2025-07-22T00:00:00"/>
        <d v="2025-08-30T00:00:00"/>
        <d v="2025-01-21T00:00:00"/>
        <d v="2026-02-18T00:00:00"/>
        <d v="2025-12-26T00:00:00"/>
        <d v="2026-03-06T00:00:00"/>
        <d v="2025-12-24T00:00:00"/>
        <d v="2025-01-23T00:00:00"/>
        <d v="2025-03-21T00:00:00"/>
        <d v="2025-12-13T00:00:00"/>
        <d v="2026-02-10T00:00:00"/>
        <d v="2025-11-06T00:00:00"/>
        <d v="2026-03-19T00:00:00"/>
        <d v="2026-03-21T00:00:00"/>
        <d v="2025-02-26T00:00:00"/>
        <d v="2025-12-20T00:00:00"/>
        <d v="2026-02-25T00:00:00"/>
        <d v="2026-06-07T00:00:00"/>
        <d v="2025-10-18T00:00:00"/>
        <d v="2025-12-31T00:00:00"/>
        <d v="2025-04-10T00:00:00"/>
        <d v="2026-02-05T00:00:00"/>
        <d v="2026-03-13T00:00:00"/>
        <d v="2025-08-18T00:00:00"/>
        <d v="2026-02-27T00:00:00"/>
        <d v="2025-01-15T00:00:00"/>
        <d v="2026-03-02T00:00:00"/>
        <d v="2025-11-19T00:00:00"/>
        <d v="2025-05-01T00:00:00"/>
        <d v="2026-02-28T00:00:00"/>
        <d v="2025-06-22T00:00:00"/>
        <d v="2026-04-01T00:00:00"/>
        <d v="2025-02-02T00:00:00"/>
        <d v="2025-01-01T00:00:00"/>
        <d v="2026-07-07T00:00:00"/>
        <d v="2025-02-14T00:00:00"/>
        <d v="2025-05-08T00:00:00"/>
        <d v="2026-03-03T00:00:00"/>
        <d v="2026-07-04T00:00:00"/>
        <d v="2026-04-05T00:00:00"/>
        <d v="2025-07-24T00:00:00"/>
        <d v="2025-11-08T00:00:00"/>
        <d v="2025-04-01T00:00:00"/>
        <d v="2025-11-24T00:00:00"/>
        <d v="2025-04-09T00:00:00"/>
        <d v="2025-12-30T00:00:00"/>
        <d v="2025-05-09T00:00:00"/>
        <d v="2026-01-26T00:00:00"/>
        <d v="2025-09-28T00:00:00"/>
        <d v="2025-04-26T00:00:00"/>
        <d v="2026-04-26T00:00:00"/>
        <d v="2026-05-05T00:00:00"/>
        <d v="2025-05-17T00:00:00"/>
        <d v="2026-02-13T00:00:00"/>
        <d v="2025-09-08T00:00:00"/>
        <d v="2025-10-14T00:00:00"/>
        <d v="2026-02-01T00:00:00"/>
        <d v="2025-05-21T00:00:00"/>
        <d v="2026-04-24T00:00:00"/>
        <d v="2025-09-30T00:00:00"/>
        <d v="2025-10-20T00:00:00"/>
        <d v="2025-12-22T00:00:00"/>
        <d v="2025-04-11T00:00:00"/>
        <d v="2025-12-18T00:00:00"/>
        <d v="2025-04-02T00:00:00"/>
        <d v="2025-07-05T00:00:00"/>
        <d v="2025-03-19T00:00:00"/>
        <d v="2026-05-28T00:00:00"/>
        <d v="2026-03-15T00:00:00"/>
        <d v="2025-09-01T00:00:00"/>
        <d v="2025-08-05T00:00:00"/>
        <d v="2025-03-20T00:00:00"/>
        <d v="2026-07-17T00:00:00"/>
        <d v="2026-05-26T00:00:00"/>
        <d v="2025-07-17T00:00:00"/>
        <d v="2025-08-11T00:00:00"/>
        <d v="2025-07-15T00:00:00"/>
        <d v="2025-11-21T00:00:00"/>
        <d v="2025-10-30T00:00:00"/>
        <d v="2025-06-16T00:00:00"/>
        <d v="2026-06-01T00:00:00"/>
        <d v="2025-04-18T00:00:00"/>
        <d v="2025-09-13T00:00:00"/>
        <d v="2025-04-19T00:00:00"/>
        <d v="2026-04-12T00:00:00"/>
        <d v="2025-04-21T00:00:00"/>
      </sharedItems>
      <fieldGroup par="31"/>
    </cacheField>
    <cacheField name="Region" numFmtId="0">
      <sharedItems count="6">
        <s v="Mogadishu"/>
        <s v="Garowe"/>
        <s v="Baidoa"/>
        <s v="Kismayo"/>
        <s v="Hargeisa"/>
        <s v="Bosaso"/>
      </sharedItems>
    </cacheField>
    <cacheField name="User_Type" numFmtId="0">
      <sharedItems count="3">
        <s v="Student"/>
        <s v="Individual"/>
        <s v="Business"/>
      </sharedItems>
    </cacheField>
    <cacheField name="Plan_Type" numFmtId="0">
      <sharedItems/>
    </cacheField>
    <cacheField name="Data_Usage_GB" numFmtId="165">
      <sharedItems containsSemiMixedTypes="0" containsString="0" containsNumber="1" minValue="-7" maxValue="88.28"/>
    </cacheField>
    <cacheField name="Session_Hours" numFmtId="165">
      <sharedItems containsSemiMixedTypes="0" containsString="0" containsNumber="1" minValue="-1" maxValue="33"/>
    </cacheField>
    <cacheField name="Total" numFmtId="165">
      <sharedItems containsSemiMixedTypes="0" containsString="0" containsNumber="1" minValue="-1.71" maxValue="92.84"/>
    </cacheField>
    <cacheField name="Avrage" numFmtId="165">
      <sharedItems containsSemiMixedTypes="0" containsString="0" containsNumber="1" minValue="1.79" maxValue="53.53"/>
    </cacheField>
    <cacheField name="missing " numFmtId="165">
      <sharedItems containsBlank="1"/>
    </cacheField>
    <cacheField name="number" numFmtId="165">
      <sharedItems containsBlank="1" containsMixedTypes="1" containsNumber="1" containsInteger="1" minValue="0" maxValue="0"/>
    </cacheField>
    <cacheField name="Now" numFmtId="0">
      <sharedItems containsNonDate="0" containsDate="1" containsString="0" containsBlank="1" minDate="2026-08-25T17:14:58" maxDate="2026-08-25T17:14:58"/>
    </cacheField>
    <cacheField name="Day" numFmtId="0">
      <sharedItems containsString="0" containsBlank="1" containsNumber="1" containsInteger="1" minValue="25" maxValue="25"/>
    </cacheField>
    <cacheField name="Today" numFmtId="0">
      <sharedItems containsNonDate="0" containsDate="1" containsString="0" containsBlank="1" minDate="2026-08-25T00:00:00" maxDate="2026-08-26T00:00:00"/>
    </cacheField>
    <cacheField name="Month" numFmtId="0">
      <sharedItems containsString="0" containsBlank="1" containsNumber="1" containsInteger="1" minValue="8" maxValue="8"/>
    </cacheField>
    <cacheField name="Year" numFmtId="0">
      <sharedItems containsString="0" containsBlank="1" containsNumber="1" containsInteger="1" minValue="2026" maxValue="2026"/>
    </cacheField>
    <cacheField name="Date" numFmtId="0">
      <sharedItems containsNonDate="0" containsDate="1" containsString="0" containsBlank="1" minDate="2026-08-25T00:00:00" maxDate="2026-08-26T00:00:00"/>
    </cacheField>
    <cacheField name="Countif" numFmtId="165">
      <sharedItems containsString="0" containsBlank="1" containsNumber="1" containsInteger="1" minValue="235" maxValue="235"/>
    </cacheField>
    <cacheField name="Count" numFmtId="165">
      <sharedItems containsString="0" containsBlank="1" containsNumber="1" containsInteger="1" minValue="282" maxValue="282"/>
    </cacheField>
    <cacheField name="Min" numFmtId="165">
      <sharedItems containsString="0" containsBlank="1" containsNumber="1" minValue="-1.71" maxValue="-1.71"/>
    </cacheField>
    <cacheField name="Max" numFmtId="165">
      <sharedItems containsString="0" containsBlank="1" containsNumber="1" minValue="92.84" maxValue="92.84"/>
    </cacheField>
    <cacheField name="Medium" numFmtId="165">
      <sharedItems containsString="0" containsBlank="1" containsNumber="1" minValue="28.15" maxValue="28.15"/>
    </cacheField>
    <cacheField name="Sum" numFmtId="165">
      <sharedItems containsString="0" containsBlank="1" containsNumber="1" minValue="9130.600000000004" maxValue="9130.600000000004"/>
    </cacheField>
    <cacheField name="Avrage if" numFmtId="165">
      <sharedItems containsString="0" containsBlank="1" containsNumber="1" minValue="53.53" maxValue="53.53"/>
    </cacheField>
    <cacheField name="Sumif" numFmtId="165">
      <sharedItems containsString="0" containsBlank="1" containsNumber="1" minValue="3091.6400000000003" maxValue="3091.6400000000003"/>
    </cacheField>
    <cacheField name="If" numFmtId="165">
      <sharedItems/>
    </cacheField>
    <cacheField name="Ifs" numFmtId="165">
      <sharedItems/>
    </cacheField>
    <cacheField name="AND" numFmtId="165">
      <sharedItems/>
    </cacheField>
    <cacheField name="0R" numFmtId="165">
      <sharedItems/>
    </cacheField>
    <cacheField name="Months (Usage_Date)" numFmtId="0" databaseField="0">
      <fieldGroup base="1">
        <rangePr groupBy="months" startDate="2025-01-01T00:00:00" endDate="2026-07-27T00:00:00"/>
        <groupItems count="14">
          <s v="&lt;1/1/2025"/>
          <s v="Jan"/>
          <s v="Feb"/>
          <s v="Mar"/>
          <s v="Apr"/>
          <s v="May"/>
          <s v="Jun"/>
          <s v="Jul"/>
          <s v="Aug"/>
          <s v="Sep"/>
          <s v="Oct"/>
          <s v="Nov"/>
          <s v="Dec"/>
          <s v="&gt;7/27/2026"/>
        </groupItems>
      </fieldGroup>
    </cacheField>
    <cacheField name="Quarters (Usage_Date)" numFmtId="0" databaseField="0">
      <fieldGroup base="1">
        <rangePr groupBy="quarters" startDate="2025-01-01T00:00:00" endDate="2026-07-27T00:00:00"/>
        <groupItems count="6">
          <s v="&lt;1/1/2025"/>
          <s v="Qtr1"/>
          <s v="Qtr2"/>
          <s v="Qtr3"/>
          <s v="Qtr4"/>
          <s v="&gt;7/27/2026"/>
        </groupItems>
      </fieldGroup>
    </cacheField>
    <cacheField name="Years (Usage_Date)" numFmtId="0" databaseField="0">
      <fieldGroup base="1">
        <rangePr groupBy="years" startDate="2025-01-01T00:00:00" endDate="2026-07-27T00:00:00"/>
        <groupItems count="4">
          <s v="&lt;1/1/2025"/>
          <s v="2025"/>
          <s v="2026"/>
          <s v="&gt;7/27/2026"/>
        </groupItems>
      </fieldGroup>
    </cacheField>
  </cacheFields>
  <extLst>
    <ext xmlns:x14="http://schemas.microsoft.com/office/spreadsheetml/2009/9/main" uri="{725AE2AE-9491-48be-B2B4-4EB974FC3084}">
      <x14:pivotCacheDefinition pivotCacheId="930219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
  <r>
    <s v="USR00007"/>
    <x v="0"/>
    <s v="Mogadishu"/>
    <s v="Student"/>
    <s v="Business"/>
    <n v="48.37"/>
    <n v="3.55"/>
    <n v="51.919999999999995"/>
    <n v="27.734999999999996"/>
  </r>
  <r>
    <s v="USR00160"/>
    <x v="1"/>
    <s v="Garowe"/>
    <s v="Individual"/>
    <s v="Basic"/>
    <n v="19.05"/>
    <n v="0.64"/>
    <n v="19.690000000000001"/>
    <n v="10.165000000000001"/>
  </r>
  <r>
    <s v="USR00013"/>
    <x v="2"/>
    <s v="Baidoa"/>
    <s v="Individual"/>
    <s v="Business"/>
    <n v="7.95"/>
    <n v="2.09"/>
    <n v="10.039999999999999"/>
    <n v="6.0649999999999995"/>
  </r>
  <r>
    <s v="USR00229"/>
    <x v="3"/>
    <s v="Mogadishu"/>
    <s v="Individual"/>
    <s v="Business"/>
    <n v="78.87"/>
    <n v="6.97"/>
    <n v="85.84"/>
    <n v="46.405000000000001"/>
  </r>
  <r>
    <s v="USR00168"/>
    <x v="4"/>
    <s v="Mogadishu"/>
    <s v="Individual"/>
    <s v="Standard"/>
    <n v="49.49"/>
    <n v="12.76"/>
    <n v="62.25"/>
    <n v="37.505000000000003"/>
  </r>
  <r>
    <s v="USR00033"/>
    <x v="5"/>
    <s v="Baidoa"/>
    <s v="Individual"/>
    <s v="Business"/>
    <n v="43.44"/>
    <n v="7.37"/>
    <n v="50.809999999999995"/>
    <n v="29.089999999999996"/>
  </r>
  <r>
    <s v="USR00200"/>
    <x v="6"/>
    <s v="Kismayo"/>
    <s v="Business"/>
    <s v="Premium"/>
    <n v="69.59"/>
    <n v="7.05"/>
    <n v="76.64"/>
    <n v="41.844999999999999"/>
  </r>
  <r>
    <s v="USR00265"/>
    <x v="7"/>
    <s v="Mogadishu"/>
    <s v="Individual"/>
    <s v="Standard"/>
    <n v="12.72"/>
    <n v="7.49"/>
    <n v="20.21"/>
    <n v="13.850000000000001"/>
  </r>
  <r>
    <s v="USR00165"/>
    <x v="8"/>
    <s v="Garowe"/>
    <s v="Individual"/>
    <s v="Standard"/>
    <n v="47.49"/>
    <n v="4.2"/>
    <n v="51.690000000000005"/>
    <n v="27.945000000000004"/>
  </r>
  <r>
    <s v="USR00071"/>
    <x v="9"/>
    <s v="Hargeisa"/>
    <s v="Individual"/>
    <s v="Basic"/>
    <n v="14.99"/>
    <n v="3.97"/>
    <n v="18.96"/>
    <n v="11.465"/>
  </r>
  <r>
    <s v="USR00099"/>
    <x v="10"/>
    <s v="Bosaso"/>
    <s v="Individual"/>
    <s v="Standard"/>
    <n v="8.7100000000000009"/>
    <n v="4.3"/>
    <n v="13.010000000000002"/>
    <n v="8.6550000000000011"/>
  </r>
  <r>
    <s v="USR00163"/>
    <x v="11"/>
    <s v="Hargeisa"/>
    <s v="Business"/>
    <s v="Basic"/>
    <n v="20.58"/>
    <n v="4.5199999999999996"/>
    <n v="25.099999999999998"/>
    <n v="14.809999999999999"/>
  </r>
  <r>
    <s v="USR00054"/>
    <x v="12"/>
    <s v="Kismayo"/>
    <s v="Individual"/>
    <s v="Business"/>
    <n v="3.76"/>
    <n v="2.4300000000000002"/>
    <n v="6.1899999999999995"/>
    <n v="4.3099999999999996"/>
  </r>
  <r>
    <s v="USR00116"/>
    <x v="13"/>
    <s v="Mogadishu"/>
    <s v="Individual"/>
    <s v="Basic"/>
    <n v="4"/>
    <n v="8.3800000000000008"/>
    <n v="12.38"/>
    <n v="10.38"/>
  </r>
  <r>
    <s v="USR00259"/>
    <x v="14"/>
    <s v="Bosaso"/>
    <s v="Student"/>
    <s v="Basic"/>
    <n v="21.81"/>
    <n v="3.72"/>
    <n v="25.529999999999998"/>
    <n v="14.624999999999998"/>
  </r>
  <r>
    <s v="USR00239"/>
    <x v="15"/>
    <s v="Hargeisa"/>
    <s v="Student"/>
    <s v="Basic"/>
    <n v="5.12"/>
    <n v="2.64"/>
    <n v="7.76"/>
    <n v="5.2"/>
  </r>
  <r>
    <s v="USR00102"/>
    <x v="16"/>
    <s v="Mogadishu"/>
    <s v="Individual"/>
    <s v="Standard"/>
    <n v="22.72"/>
    <n v="2.11"/>
    <n v="24.83"/>
    <n v="13.469999999999999"/>
  </r>
  <r>
    <s v="USR00074"/>
    <x v="17"/>
    <s v="Hargeisa"/>
    <s v="Individual"/>
    <s v="Premium"/>
    <n v="32.450000000000003"/>
    <n v="5.43"/>
    <n v="37.880000000000003"/>
    <n v="21.655000000000001"/>
  </r>
  <r>
    <s v="USR00029"/>
    <x v="18"/>
    <s v="Kismayo"/>
    <s v="Individual"/>
    <s v="Basic"/>
    <n v="45.51"/>
    <n v="11.19"/>
    <n v="56.699999999999996"/>
    <n v="33.945"/>
  </r>
  <r>
    <s v="USR00219"/>
    <x v="19"/>
    <s v="Kismayo"/>
    <s v="Individual"/>
    <s v="Basic"/>
    <n v="26.05"/>
    <n v="1.82"/>
    <n v="27.87"/>
    <n v="14.845000000000001"/>
  </r>
  <r>
    <s v="USR00050"/>
    <x v="20"/>
    <s v="Mogadishu"/>
    <s v="Business"/>
    <s v="Premium"/>
    <n v="2.92"/>
    <n v="2.95"/>
    <n v="5.87"/>
    <n v="4.41"/>
  </r>
  <r>
    <s v="USR00286"/>
    <x v="21"/>
    <s v="Hargeisa"/>
    <s v="Individual"/>
    <s v="Premium"/>
    <n v="7.98"/>
    <n v="0.82"/>
    <n v="8.8000000000000007"/>
    <n v="4.8100000000000005"/>
  </r>
  <r>
    <s v="USR00202"/>
    <x v="22"/>
    <s v="Mogadishu"/>
    <s v="Business"/>
    <s v="Business"/>
    <n v="59.1"/>
    <n v="4.6399999999999997"/>
    <n v="63.74"/>
    <n v="34.19"/>
  </r>
  <r>
    <s v="USR00127"/>
    <x v="23"/>
    <s v="Bosaso"/>
    <s v="Student"/>
    <s v="Premium"/>
    <n v="45.55"/>
    <n v="11.72"/>
    <n v="57.269999999999996"/>
    <n v="34.494999999999997"/>
  </r>
  <r>
    <s v="USR00173"/>
    <x v="24"/>
    <s v="Mogadishu"/>
    <s v="Student"/>
    <s v="Standard"/>
    <n v="60.66"/>
    <n v="7.84"/>
    <n v="68.5"/>
    <n v="38.17"/>
  </r>
  <r>
    <s v="USR00246"/>
    <x v="25"/>
    <s v="Hargeisa"/>
    <s v="Student"/>
    <s v="Standard"/>
    <n v="32.44"/>
    <n v="8.06"/>
    <n v="40.5"/>
    <n v="24.28"/>
  </r>
  <r>
    <s v="USR00015"/>
    <x v="26"/>
    <s v="Mogadishu"/>
    <s v="Individual"/>
    <s v="Basic"/>
    <n v="43.16"/>
    <n v="2.48"/>
    <n v="45.639999999999993"/>
    <n v="24.059999999999995"/>
  </r>
  <r>
    <s v="USR00172"/>
    <x v="27"/>
    <s v="Mogadishu"/>
    <s v="Individual"/>
    <s v="Basic"/>
    <n v="7.23"/>
    <n v="4.47"/>
    <n v="11.7"/>
    <n v="8.0849999999999991"/>
  </r>
  <r>
    <s v="USR00248"/>
    <x v="3"/>
    <s v="Mogadishu"/>
    <s v="Student"/>
    <s v="Basic"/>
    <n v="3.05"/>
    <n v="4.53"/>
    <n v="7.58"/>
    <n v="6.0549999999999997"/>
  </r>
  <r>
    <s v="USR00218"/>
    <x v="28"/>
    <s v="Hargeisa"/>
    <s v="Individual"/>
    <s v="Standard"/>
    <n v="9"/>
    <n v="7.83"/>
    <n v="16.829999999999998"/>
    <n v="12.329999999999998"/>
  </r>
  <r>
    <s v="USR00043"/>
    <x v="24"/>
    <s v="Garowe"/>
    <s v="Student"/>
    <s v="Premium"/>
    <n v="42.89"/>
    <n v="4.78"/>
    <n v="47.67"/>
    <n v="26.225000000000001"/>
  </r>
  <r>
    <s v="USR00190"/>
    <x v="29"/>
    <s v="Mogadishu"/>
    <s v="Business"/>
    <s v="Standard"/>
    <n v="27.07"/>
    <n v="2.6"/>
    <n v="29.67"/>
    <n v="16.135000000000002"/>
  </r>
  <r>
    <s v="USR00113"/>
    <x v="30"/>
    <s v="Baidoa"/>
    <s v="Business"/>
    <s v="Standard"/>
    <n v="19.510000000000002"/>
    <n v="2.23"/>
    <n v="21.740000000000002"/>
    <n v="11.985000000000001"/>
  </r>
  <r>
    <s v="USR00083"/>
    <x v="31"/>
    <s v="Mogadishu"/>
    <s v="Individual"/>
    <s v="Standard"/>
    <n v="24.41"/>
    <n v="3.37"/>
    <n v="27.78"/>
    <n v="15.575000000000001"/>
  </r>
  <r>
    <s v="USR00247"/>
    <x v="32"/>
    <s v="Bosaso"/>
    <s v="Individual"/>
    <s v="Premium"/>
    <n v="20"/>
    <n v="11.33"/>
    <n v="31.33"/>
    <n v="21.33"/>
  </r>
  <r>
    <s v="USR00034"/>
    <x v="33"/>
    <s v="Hargeisa"/>
    <s v="Individual"/>
    <s v="Basic"/>
    <n v="18.079999999999998"/>
    <n v="1.41"/>
    <n v="19.489999999999998"/>
    <n v="10.45"/>
  </r>
  <r>
    <s v="USR00014"/>
    <x v="34"/>
    <s v="Kismayo"/>
    <s v="Business"/>
    <s v="Basic"/>
    <n v="9.57"/>
    <n v="1.99"/>
    <n v="11.56"/>
    <n v="6.7750000000000004"/>
  </r>
  <r>
    <s v="USR00242"/>
    <x v="35"/>
    <s v="Mogadishu"/>
    <s v="Individual"/>
    <s v="Premium"/>
    <n v="40.69"/>
    <n v="6.45"/>
    <n v="47.14"/>
    <n v="26.795000000000002"/>
  </r>
  <r>
    <s v="USR00188"/>
    <x v="36"/>
    <s v="Bosaso"/>
    <s v="Individual"/>
    <s v="Premium"/>
    <n v="39"/>
    <n v="7.8"/>
    <n v="46.8"/>
    <n v="27.299999999999997"/>
  </r>
  <r>
    <s v="USR00246"/>
    <x v="37"/>
    <s v="Baidoa"/>
    <s v="Student"/>
    <s v="Standard"/>
    <n v="22.68"/>
    <n v="7.07"/>
    <n v="29.75"/>
    <n v="18.41"/>
  </r>
  <r>
    <s v="USR00006"/>
    <x v="38"/>
    <s v="Mogadishu"/>
    <s v="Business"/>
    <s v="Standard"/>
    <n v="20.91"/>
    <n v="6.63"/>
    <n v="27.54"/>
    <n v="17.085000000000001"/>
  </r>
  <r>
    <s v="USR00208"/>
    <x v="22"/>
    <s v="Mogadishu"/>
    <s v="Individual"/>
    <s v="Premium"/>
    <n v="32.380000000000003"/>
    <n v="8.66"/>
    <n v="41.040000000000006"/>
    <n v="24.85"/>
  </r>
  <r>
    <s v="USR00157"/>
    <x v="39"/>
    <s v="Kismayo"/>
    <s v="Individual"/>
    <s v="Premium"/>
    <n v="4.96"/>
    <n v="9.59"/>
    <n v="14.55"/>
    <n v="12.07"/>
  </r>
  <r>
    <s v="USR00171"/>
    <x v="40"/>
    <s v="Garowe"/>
    <s v="Individual"/>
    <s v="Standard"/>
    <n v="4.28"/>
    <n v="1.94"/>
    <n v="6.2200000000000006"/>
    <n v="4.08"/>
  </r>
  <r>
    <s v="USR00217"/>
    <x v="3"/>
    <s v="Mogadishu"/>
    <s v="Individual"/>
    <s v="Basic"/>
    <n v="9"/>
    <n v="4.53"/>
    <n v="13.530000000000001"/>
    <n v="9.0300000000000011"/>
  </r>
  <r>
    <s v="USR00065"/>
    <x v="41"/>
    <s v="Mogadishu"/>
    <s v="Individual"/>
    <s v="Premium"/>
    <n v="30.37"/>
    <n v="11.58"/>
    <n v="41.95"/>
    <n v="26.765000000000001"/>
  </r>
  <r>
    <s v="USR00053"/>
    <x v="42"/>
    <s v="Mogadishu"/>
    <s v="Business"/>
    <s v="Basic"/>
    <n v="33.47"/>
    <n v="2.89"/>
    <n v="36.36"/>
    <n v="19.625"/>
  </r>
  <r>
    <s v="USR00076"/>
    <x v="43"/>
    <s v="Hargeisa"/>
    <s v="Individual"/>
    <s v="Standard"/>
    <n v="19.7"/>
    <n v="3.51"/>
    <n v="23.21"/>
    <n v="13.36"/>
  </r>
  <r>
    <s v="USR00120"/>
    <x v="44"/>
    <s v="Baidoa"/>
    <s v="Business"/>
    <s v="Premium"/>
    <n v="32.46"/>
    <n v="4.54"/>
    <n v="37"/>
    <n v="20.77"/>
  </r>
  <r>
    <s v="USR00130"/>
    <x v="45"/>
    <s v="Mogadishu"/>
    <s v="Business"/>
    <s v="Basic"/>
    <n v="6.46"/>
    <n v="12.44"/>
    <n v="18.899999999999999"/>
    <n v="15.669999999999998"/>
  </r>
  <r>
    <s v="USR00151"/>
    <x v="46"/>
    <s v="Garowe"/>
    <s v="Individual"/>
    <s v="Premium"/>
    <n v="9.48"/>
    <n v="2.69"/>
    <n v="12.17"/>
    <n v="7.43"/>
  </r>
  <r>
    <s v="USR00058"/>
    <x v="47"/>
    <s v="Hargeisa"/>
    <s v="Individual"/>
    <s v="Premium"/>
    <n v="12.02"/>
    <n v="6.68"/>
    <n v="18.7"/>
    <n v="12.69"/>
  </r>
  <r>
    <s v="USR00039"/>
    <x v="48"/>
    <s v="Bosaso"/>
    <s v="Individual"/>
    <s v="Basic"/>
    <n v="44.51"/>
    <n v="7.31"/>
    <n v="51.82"/>
    <n v="29.565000000000001"/>
  </r>
  <r>
    <s v="USR00062"/>
    <x v="49"/>
    <s v="Hargeisa"/>
    <s v="Individual"/>
    <s v="Basic"/>
    <n v="27.87"/>
    <n v="5.08"/>
    <n v="32.950000000000003"/>
    <n v="19.015000000000001"/>
  </r>
  <r>
    <s v="USR00266"/>
    <x v="50"/>
    <s v="Garowe"/>
    <s v="Individual"/>
    <s v="Premium"/>
    <n v="43.16"/>
    <n v="3.69"/>
    <n v="46.849999999999994"/>
    <n v="25.269999999999996"/>
  </r>
  <r>
    <s v="USR00139"/>
    <x v="51"/>
    <s v="Hargeisa"/>
    <s v="Business"/>
    <s v="Basic"/>
    <n v="27.05"/>
    <n v="8.31"/>
    <n v="35.36"/>
    <n v="21.835000000000001"/>
  </r>
  <r>
    <s v="USR00274"/>
    <x v="52"/>
    <s v="Mogadishu"/>
    <s v="Individual"/>
    <s v="Business"/>
    <n v="14.07"/>
    <n v="1.29"/>
    <n v="15.36"/>
    <n v="8.3249999999999993"/>
  </r>
  <r>
    <s v="USR00153"/>
    <x v="53"/>
    <s v="Bosaso"/>
    <s v="Individual"/>
    <s v="Premium"/>
    <n v="63.94"/>
    <n v="13.51"/>
    <n v="77.45"/>
    <n v="45.480000000000004"/>
  </r>
  <r>
    <s v="USR00095"/>
    <x v="54"/>
    <s v="Baidoa"/>
    <s v="Student"/>
    <s v="Premium"/>
    <n v="58.01"/>
    <n v="11.76"/>
    <n v="69.77"/>
    <n v="40.765000000000001"/>
  </r>
  <r>
    <s v="USR00025"/>
    <x v="55"/>
    <s v="Mogadishu"/>
    <s v="Business"/>
    <s v="Standard"/>
    <n v="30.59"/>
    <n v="8.82"/>
    <n v="39.409999999999997"/>
    <n v="24.114999999999998"/>
  </r>
  <r>
    <s v="USR00010"/>
    <x v="56"/>
    <s v="Mogadishu"/>
    <s v="Individual"/>
    <s v="Basic"/>
    <n v="20.48"/>
    <n v="6.69"/>
    <n v="27.17"/>
    <n v="16.93"/>
  </r>
  <r>
    <s v="USR00031"/>
    <x v="57"/>
    <s v="Baidoa"/>
    <s v="Business"/>
    <s v="Premium"/>
    <n v="70.87"/>
    <n v="1.65"/>
    <n v="72.52000000000001"/>
    <n v="37.085000000000008"/>
  </r>
  <r>
    <s v="USR00278"/>
    <x v="58"/>
    <s v="Mogadishu"/>
    <s v="Individual"/>
    <s v="Standard"/>
    <n v="38.24"/>
    <n v="11.65"/>
    <n v="49.89"/>
    <n v="30.77"/>
  </r>
  <r>
    <s v="USR00077"/>
    <x v="59"/>
    <s v="Hargeisa"/>
    <s v="Student"/>
    <s v="Standard"/>
    <n v="24.4"/>
    <n v="5.88"/>
    <n v="30.279999999999998"/>
    <n v="18.079999999999998"/>
  </r>
  <r>
    <s v="USR00289"/>
    <x v="60"/>
    <s v="Mogadishu"/>
    <s v="Student"/>
    <s v="Standard"/>
    <n v="43.63"/>
    <n v="5.14"/>
    <n v="48.77"/>
    <n v="26.955000000000002"/>
  </r>
  <r>
    <s v="USR00261"/>
    <x v="61"/>
    <s v="Kismayo"/>
    <s v="Individual"/>
    <s v="Standard"/>
    <n v="25.07"/>
    <n v="2.0699999999999998"/>
    <n v="27.14"/>
    <n v="14.605"/>
  </r>
  <r>
    <s v="USR00271"/>
    <x v="62"/>
    <s v="Mogadishu"/>
    <s v="Student"/>
    <s v="Basic"/>
    <n v="3.76"/>
    <n v="4.41"/>
    <n v="8.17"/>
    <n v="6.29"/>
  </r>
  <r>
    <s v="USR00129"/>
    <x v="63"/>
    <s v="Hargeisa"/>
    <s v="Student"/>
    <s v="Premium"/>
    <n v="57.8"/>
    <n v="2.56"/>
    <n v="60.36"/>
    <n v="31.46"/>
  </r>
  <r>
    <s v="USR00285"/>
    <x v="64"/>
    <s v="Garowe"/>
    <s v="Business"/>
    <s v="Basic"/>
    <n v="13.94"/>
    <n v="2.04"/>
    <n v="15.98"/>
    <n v="9.01"/>
  </r>
  <r>
    <s v="USR00227"/>
    <x v="65"/>
    <s v="Garowe"/>
    <s v="Individual"/>
    <s v="Standard"/>
    <n v="40.99"/>
    <n v="4.4400000000000004"/>
    <n v="45.43"/>
    <n v="24.934999999999999"/>
  </r>
  <r>
    <s v="USR00184"/>
    <x v="66"/>
    <s v="Kismayo"/>
    <s v="Individual"/>
    <s v="Basic"/>
    <n v="18.309999999999999"/>
    <n v="3.74"/>
    <n v="22.049999999999997"/>
    <n v="12.895"/>
  </r>
  <r>
    <s v="USR00252"/>
    <x v="67"/>
    <s v="Kismayo"/>
    <s v="Individual"/>
    <s v="Standard"/>
    <n v="7.39"/>
    <n v="1.55"/>
    <n v="8.94"/>
    <n v="5.2450000000000001"/>
  </r>
  <r>
    <s v="USR00098"/>
    <x v="68"/>
    <s v="Bosaso"/>
    <s v="Student"/>
    <s v="Premium"/>
    <n v="21.09"/>
    <n v="0.69"/>
    <n v="21.78"/>
    <n v="11.235000000000001"/>
  </r>
  <r>
    <s v="USR00141"/>
    <x v="69"/>
    <s v="Mogadishu"/>
    <s v="Student"/>
    <s v="Premium"/>
    <n v="7.36"/>
    <n v="5.44"/>
    <n v="12.8"/>
    <n v="9.120000000000001"/>
  </r>
  <r>
    <s v="USR00108"/>
    <x v="70"/>
    <s v="Hargeisa"/>
    <s v="Individual"/>
    <s v="Premium"/>
    <n v="19.41"/>
    <n v="12.78"/>
    <n v="32.19"/>
    <n v="22.484999999999999"/>
  </r>
  <r>
    <s v="USR00018"/>
    <x v="71"/>
    <s v="Kismayo"/>
    <s v="Student"/>
    <s v="Basic"/>
    <n v="48.61"/>
    <n v="10.39"/>
    <n v="59"/>
    <n v="34.695"/>
  </r>
  <r>
    <s v="USR00005"/>
    <x v="72"/>
    <s v="Kismayo"/>
    <s v="Individual"/>
    <s v="Basic"/>
    <n v="37.71"/>
    <n v="2.93"/>
    <n v="40.64"/>
    <n v="21.785"/>
  </r>
  <r>
    <s v="USR00221"/>
    <x v="73"/>
    <s v="Garowe"/>
    <s v="Individual"/>
    <s v="Premium"/>
    <n v="19.84"/>
    <n v="4.2300000000000004"/>
    <n v="24.07"/>
    <n v="14.15"/>
  </r>
  <r>
    <s v="USR00067"/>
    <x v="74"/>
    <s v="Bosaso"/>
    <s v="Individual"/>
    <s v="Premium"/>
    <n v="27.45"/>
    <n v="5.09"/>
    <n v="32.54"/>
    <n v="18.814999999999998"/>
  </r>
  <r>
    <s v="USR00166"/>
    <x v="75"/>
    <s v="Mogadishu"/>
    <s v="Individual"/>
    <s v="Basic"/>
    <n v="63.54"/>
    <n v="6.66"/>
    <n v="70.2"/>
    <n v="38.43"/>
  </r>
  <r>
    <s v="USR00011"/>
    <x v="76"/>
    <s v="Garowe"/>
    <s v="Business"/>
    <s v="Standard"/>
    <n v="18.63"/>
    <n v="1.61"/>
    <n v="20.239999999999998"/>
    <n v="10.924999999999999"/>
  </r>
  <r>
    <s v="USR00170"/>
    <x v="40"/>
    <s v="Mogadishu"/>
    <s v="Student"/>
    <s v="Premium"/>
    <n v="68.34"/>
    <n v="1.79"/>
    <n v="70.13000000000001"/>
    <n v="35.960000000000008"/>
  </r>
  <r>
    <s v="USR00121"/>
    <x v="77"/>
    <s v="Kismayo"/>
    <s v="Individual"/>
    <s v="Basic"/>
    <n v="36.9"/>
    <n v="0.77"/>
    <n v="37.67"/>
    <n v="19.220000000000002"/>
  </r>
  <r>
    <s v="USR00030"/>
    <x v="78"/>
    <s v="Mogadishu"/>
    <s v="Individual"/>
    <s v="Premium"/>
    <n v="37.29"/>
    <n v="12.42"/>
    <n v="49.71"/>
    <n v="31.065000000000001"/>
  </r>
  <r>
    <s v="USR00156"/>
    <x v="79"/>
    <s v="Baidoa"/>
    <s v="Student"/>
    <s v="Standard"/>
    <n v="15.32"/>
    <n v="4.79"/>
    <n v="20.11"/>
    <n v="12.45"/>
  </r>
  <r>
    <s v="USR00224"/>
    <x v="9"/>
    <s v="Kismayo"/>
    <s v="Individual"/>
    <s v="Premium"/>
    <n v="13.03"/>
    <n v="5.97"/>
    <n v="19"/>
    <n v="12.484999999999999"/>
  </r>
  <r>
    <s v="USR00078"/>
    <x v="80"/>
    <s v="Hargeisa"/>
    <s v="Individual"/>
    <s v="Standard"/>
    <n v="22.15"/>
    <n v="4.2699999999999996"/>
    <n v="26.419999999999998"/>
    <n v="15.344999999999999"/>
  </r>
  <r>
    <s v="USR00195"/>
    <x v="81"/>
    <s v="Mogadishu"/>
    <s v="Student"/>
    <s v="Basic"/>
    <n v="25.97"/>
    <n v="33"/>
    <n v="58.97"/>
    <n v="45.984999999999999"/>
  </r>
  <r>
    <s v="USR00091"/>
    <x v="82"/>
    <s v="Mogadishu"/>
    <s v="Individual"/>
    <s v="Basic"/>
    <n v="22.12"/>
    <n v="6.65"/>
    <n v="28.770000000000003"/>
    <n v="17.71"/>
  </r>
  <r>
    <s v="USR00198"/>
    <x v="83"/>
    <s v="Hargeisa"/>
    <s v="Business"/>
    <s v="Standard"/>
    <n v="23.74"/>
    <n v="1.77"/>
    <n v="25.509999999999998"/>
    <n v="13.639999999999999"/>
  </r>
  <r>
    <s v="USR00021"/>
    <x v="84"/>
    <s v="Mogadishu"/>
    <s v="Individual"/>
    <s v="Business"/>
    <n v="66.98"/>
    <n v="5.21"/>
    <n v="72.19"/>
    <n v="38.699999999999996"/>
  </r>
  <r>
    <s v="USR00124"/>
    <x v="85"/>
    <s v="Garowe"/>
    <s v="Individual"/>
    <s v="Premium"/>
    <n v="27.37"/>
    <n v="3.15"/>
    <n v="30.52"/>
    <n v="16.835000000000001"/>
  </r>
  <r>
    <s v="USR00201"/>
    <x v="17"/>
    <s v="Kismayo"/>
    <s v="Individual"/>
    <s v="Basic"/>
    <n v="14.34"/>
    <n v="11.76"/>
    <n v="26.1"/>
    <n v="18.93"/>
  </r>
  <r>
    <s v="USR00044"/>
    <x v="86"/>
    <s v="Hargeisa"/>
    <s v="Student"/>
    <s v="Basic"/>
    <n v="41.73"/>
    <n v="1.23"/>
    <n v="42.959999999999994"/>
    <n v="22.094999999999995"/>
  </r>
  <r>
    <s v="USR00282"/>
    <x v="87"/>
    <s v="Kismayo"/>
    <s v="Business"/>
    <s v="Premium"/>
    <n v="11.1"/>
    <n v="4.2300000000000004"/>
    <n v="15.33"/>
    <n v="9.7800000000000011"/>
  </r>
  <r>
    <s v="USR00049"/>
    <x v="88"/>
    <s v="Mogadishu"/>
    <s v="Individual"/>
    <s v="Premium"/>
    <n v="41.8"/>
    <n v="4.54"/>
    <n v="46.339999999999996"/>
    <n v="25.439999999999998"/>
  </r>
  <r>
    <s v="USR00280"/>
    <x v="89"/>
    <s v="Garowe"/>
    <s v="Student"/>
    <s v="Premium"/>
    <n v="35.31"/>
    <n v="10.27"/>
    <n v="45.58"/>
    <n v="27.924999999999997"/>
  </r>
  <r>
    <s v="USR00004"/>
    <x v="90"/>
    <s v="Bosaso"/>
    <s v="Individual"/>
    <s v="Standard"/>
    <n v="52.67"/>
    <n v="8.3699999999999992"/>
    <n v="61.04"/>
    <n v="34.704999999999998"/>
  </r>
  <r>
    <s v="USR00086"/>
    <x v="91"/>
    <s v="Mogadishu"/>
    <s v="Individual"/>
    <s v="Premium"/>
    <n v="23.54"/>
    <n v="12.47"/>
    <n v="36.01"/>
    <n v="24.24"/>
  </r>
  <r>
    <s v="USR00059"/>
    <x v="92"/>
    <s v="Hargeisa"/>
    <s v="Individual"/>
    <s v="Standard"/>
    <n v="42.55"/>
    <n v="3.38"/>
    <n v="45.93"/>
    <n v="24.655000000000001"/>
  </r>
  <r>
    <s v="USR00177"/>
    <x v="93"/>
    <s v="Kismayo"/>
    <s v="Student"/>
    <s v="Premium"/>
    <n v="43.89"/>
    <n v="9.6999999999999993"/>
    <n v="53.59"/>
    <n v="31.645000000000003"/>
  </r>
  <r>
    <s v="USR00272"/>
    <x v="18"/>
    <s v="Mogadishu"/>
    <s v="Student"/>
    <s v="Premium"/>
    <n v="18.89"/>
    <n v="1.1599999999999999"/>
    <n v="20.05"/>
    <n v="10.605"/>
  </r>
  <r>
    <s v="USR00035"/>
    <x v="94"/>
    <s v="Mogadishu"/>
    <s v="Individual"/>
    <s v="Basic"/>
    <n v="38.46"/>
    <n v="5.0599999999999996"/>
    <n v="43.52"/>
    <n v="24.290000000000003"/>
  </r>
  <r>
    <s v="USR00126"/>
    <x v="95"/>
    <s v="Bosaso"/>
    <s v="Individual"/>
    <s v="Standard"/>
    <n v="28.25"/>
    <n v="2.2799999999999998"/>
    <n v="30.53"/>
    <n v="16.405000000000001"/>
  </r>
  <r>
    <s v="USR00235"/>
    <x v="96"/>
    <s v="Mogadishu"/>
    <s v="Individual"/>
    <s v="Premium"/>
    <n v="20.18"/>
    <n v="1.71"/>
    <n v="21.89"/>
    <n v="11.8"/>
  </r>
  <r>
    <s v="USR00081"/>
    <x v="97"/>
    <s v="Bosaso"/>
    <s v="Student"/>
    <s v="Standard"/>
    <n v="3.64"/>
    <n v="3.67"/>
    <n v="7.3100000000000005"/>
    <n v="5.49"/>
  </r>
  <r>
    <s v="USR00094"/>
    <x v="98"/>
    <s v="Mogadishu"/>
    <s v="Student"/>
    <s v="Standard"/>
    <n v="17.649999999999999"/>
    <n v="6.75"/>
    <n v="24.4"/>
    <n v="15.574999999999999"/>
  </r>
  <r>
    <s v="USR00273"/>
    <x v="99"/>
    <s v="Mogadishu"/>
    <s v="Student"/>
    <s v="Premium"/>
    <n v="20.81"/>
    <n v="5.35"/>
    <n v="26.159999999999997"/>
    <n v="15.754999999999999"/>
  </r>
  <r>
    <s v="USR00236"/>
    <x v="100"/>
    <s v="Mogadishu"/>
    <s v="Individual"/>
    <s v="Basic"/>
    <n v="34.729999999999997"/>
    <n v="0.82"/>
    <n v="35.549999999999997"/>
    <n v="18.184999999999999"/>
  </r>
  <r>
    <s v="USR00136"/>
    <x v="101"/>
    <s v="Mogadishu"/>
    <s v="Student"/>
    <s v="Basic"/>
    <n v="61.42"/>
    <n v="10.75"/>
    <n v="72.17"/>
    <n v="41.46"/>
  </r>
  <r>
    <s v="USR00179"/>
    <x v="102"/>
    <s v="Hargeisa"/>
    <s v="Business"/>
    <s v="Premium"/>
    <n v="36.65"/>
    <n v="2.73"/>
    <n v="39.379999999999995"/>
    <n v="21.054999999999996"/>
  </r>
  <r>
    <s v="USR00204"/>
    <x v="19"/>
    <s v="Hargeisa"/>
    <s v="Individual"/>
    <s v="Standard"/>
    <n v="23.3"/>
    <n v="10.75"/>
    <n v="34.049999999999997"/>
    <n v="22.4"/>
  </r>
  <r>
    <s v="USR00026"/>
    <x v="32"/>
    <s v="Mogadishu"/>
    <s v="Business"/>
    <s v="Premium"/>
    <n v="31.53"/>
    <n v="3.27"/>
    <n v="34.800000000000004"/>
    <n v="19.035000000000004"/>
  </r>
  <r>
    <s v="USR00096"/>
    <x v="10"/>
    <s v="Garowe"/>
    <s v="Individual"/>
    <s v="Standard"/>
    <n v="3.08"/>
    <n v="8.82"/>
    <n v="11.9"/>
    <n v="10.36"/>
  </r>
  <r>
    <s v="USR00262"/>
    <x v="103"/>
    <s v="Baidoa"/>
    <s v="Student"/>
    <s v="Standard"/>
    <n v="54.24"/>
    <n v="10.31"/>
    <n v="64.55"/>
    <n v="37.43"/>
  </r>
  <r>
    <s v="USR00082"/>
    <x v="104"/>
    <s v="Hargeisa"/>
    <s v="Unknown"/>
    <s v="Basic"/>
    <n v="12.07"/>
    <n v="4.09"/>
    <n v="16.16"/>
    <n v="10.125"/>
  </r>
  <r>
    <s v="USR00042"/>
    <x v="105"/>
    <s v="Baidoa"/>
    <s v="Business"/>
    <s v="Premium"/>
    <n v="19.53"/>
    <n v="7.82"/>
    <n v="27.35"/>
    <n v="17.585000000000001"/>
  </r>
  <r>
    <s v="USR00207"/>
    <x v="106"/>
    <s v="Garowe"/>
    <s v="Individual"/>
    <s v="Standard"/>
    <n v="17.84"/>
    <n v="6.43"/>
    <n v="24.27"/>
    <n v="15.35"/>
  </r>
  <r>
    <s v="USR00040"/>
    <x v="107"/>
    <s v="Kismayo"/>
    <s v="Individual"/>
    <s v="Premium"/>
    <n v="21.25"/>
    <n v="3.11"/>
    <n v="24.36"/>
    <n v="13.734999999999999"/>
  </r>
  <r>
    <s v="USR00215"/>
    <x v="108"/>
    <s v="Bosaso"/>
    <s v="Individual"/>
    <s v="Premium"/>
    <n v="63.79"/>
    <n v="12.53"/>
    <n v="76.319999999999993"/>
    <n v="44.424999999999997"/>
  </r>
  <r>
    <s v="USR00070"/>
    <x v="109"/>
    <s v="Hargeisa"/>
    <s v="Individual"/>
    <s v="Standard"/>
    <n v="4.71"/>
    <n v="0.71"/>
    <n v="5.42"/>
    <n v="3.0649999999999999"/>
  </r>
  <r>
    <s v="USR00080"/>
    <x v="87"/>
    <s v="Bosaso"/>
    <s v="Student"/>
    <s v="Business"/>
    <n v="28.79"/>
    <n v="6.02"/>
    <n v="34.81"/>
    <n v="20.414999999999999"/>
  </r>
  <r>
    <s v="USR00138"/>
    <x v="110"/>
    <s v="Kismayo"/>
    <s v="Student"/>
    <s v="Basic"/>
    <n v="21.02"/>
    <n v="2.13"/>
    <n v="23.15"/>
    <n v="12.639999999999999"/>
  </r>
  <r>
    <s v="USR00069"/>
    <x v="111"/>
    <s v="Baidoa"/>
    <s v="Business"/>
    <s v="Basic"/>
    <n v="15.94"/>
    <n v="3.99"/>
    <n v="19.93"/>
    <n v="11.96"/>
  </r>
  <r>
    <s v="USR00275"/>
    <x v="112"/>
    <s v="Mogadishu"/>
    <s v="Individual"/>
    <s v="Basic"/>
    <n v="2.64"/>
    <n v="12.64"/>
    <n v="15.280000000000001"/>
    <n v="13.96"/>
  </r>
  <r>
    <s v="USR00176"/>
    <x v="113"/>
    <s v="Baidoa"/>
    <s v="Student"/>
    <s v="Basic"/>
    <n v="46.38"/>
    <n v="2.74"/>
    <n v="49.120000000000005"/>
    <n v="25.930000000000003"/>
  </r>
  <r>
    <s v="USR00143"/>
    <x v="114"/>
    <s v="Bosaso"/>
    <s v="Business"/>
    <s v="Standard"/>
    <n v="25.27"/>
    <n v="3.66"/>
    <n v="28.93"/>
    <n v="16.295000000000002"/>
  </r>
  <r>
    <s v="USR00281"/>
    <x v="115"/>
    <s v="Garowe"/>
    <s v="Individual"/>
    <s v="Basic"/>
    <n v="4.2699999999999996"/>
    <n v="4.7"/>
    <n v="8.9699999999999989"/>
    <n v="6.8349999999999991"/>
  </r>
  <r>
    <s v="USR00087"/>
    <x v="116"/>
    <s v="Garowe"/>
    <s v="Individual"/>
    <s v="Basic"/>
    <n v="26.83"/>
    <n v="1.23"/>
    <n v="28.06"/>
    <n v="14.645"/>
  </r>
  <r>
    <s v="USR00244"/>
    <x v="95"/>
    <s v="Hargeisa"/>
    <s v="Individual"/>
    <s v="Premium"/>
    <n v="28.6"/>
    <n v="2.8"/>
    <n v="31.400000000000002"/>
    <n v="17.100000000000001"/>
  </r>
  <r>
    <s v="USR00036"/>
    <x v="117"/>
    <s v="Baidoa"/>
    <s v="Individual"/>
    <s v="Basic"/>
    <n v="41.23"/>
    <n v="6.8"/>
    <n v="48.029999999999994"/>
    <n v="27.414999999999996"/>
  </r>
  <r>
    <s v="USR00125"/>
    <x v="118"/>
    <s v="Garowe"/>
    <s v="Student"/>
    <s v="Premium"/>
    <n v="20.93"/>
    <n v="5.32"/>
    <n v="26.25"/>
    <n v="15.785"/>
  </r>
  <r>
    <s v="USR00231"/>
    <x v="119"/>
    <s v="Garowe"/>
    <s v="Student"/>
    <s v="Basic"/>
    <n v="2.86"/>
    <n v="1.7"/>
    <n v="4.5599999999999996"/>
    <n v="3.13"/>
  </r>
  <r>
    <s v="USR00090"/>
    <x v="120"/>
    <s v="Hargeisa"/>
    <s v="Individual"/>
    <s v="Premium"/>
    <n v="3"/>
    <n v="7.97"/>
    <n v="10.969999999999999"/>
    <n v="9.4699999999999989"/>
  </r>
  <r>
    <s v="USR00178"/>
    <x v="14"/>
    <s v="Mogadishu"/>
    <s v="Student"/>
    <s v="Premium"/>
    <n v="29.32"/>
    <n v="1.62"/>
    <n v="30.94"/>
    <n v="16.28"/>
  </r>
  <r>
    <s v="USR00183"/>
    <x v="121"/>
    <s v="Baidoa"/>
    <s v="Individual"/>
    <s v="Standard"/>
    <n v="39.130000000000003"/>
    <n v="1.54"/>
    <n v="40.67"/>
    <n v="21.105"/>
  </r>
  <r>
    <s v="USR00041"/>
    <x v="122"/>
    <s v="Hargeisa"/>
    <s v="Student"/>
    <s v="Basic"/>
    <n v="31.36"/>
    <n v="3.94"/>
    <n v="35.299999999999997"/>
    <n v="19.619999999999997"/>
  </r>
  <r>
    <s v="USR00258"/>
    <x v="123"/>
    <s v="Kismayo"/>
    <s v="Business"/>
    <s v="Standard"/>
    <n v="39.79"/>
    <n v="8.2899999999999991"/>
    <n v="48.08"/>
    <n v="28.184999999999999"/>
  </r>
  <r>
    <s v="USR00291"/>
    <x v="124"/>
    <s v="Bosaso"/>
    <s v="Student"/>
    <s v="Premium"/>
    <n v="-5"/>
    <n v="10.36"/>
    <n v="5.3599999999999994"/>
    <n v="7.8599999999999994"/>
  </r>
  <r>
    <s v="USR00152"/>
    <x v="125"/>
    <s v="Mogadishu"/>
    <s v="Student"/>
    <s v="Premium"/>
    <n v="6.74"/>
    <n v="5.84"/>
    <n v="12.58"/>
    <n v="9.2100000000000009"/>
  </r>
  <r>
    <s v="USR00241"/>
    <x v="126"/>
    <s v="Mogadishu"/>
    <s v="Business"/>
    <s v="Standard"/>
    <n v="42.17"/>
    <n v="2.58"/>
    <n v="44.75"/>
    <n v="23.664999999999999"/>
  </r>
  <r>
    <s v="USR00245"/>
    <x v="127"/>
    <s v="Mogadishu"/>
    <s v="Student"/>
    <s v="Standard"/>
    <n v="17.95"/>
    <n v="3.95"/>
    <n v="21.9"/>
    <n v="12.924999999999999"/>
  </r>
  <r>
    <s v="USR00254"/>
    <x v="128"/>
    <s v="Hargeisa"/>
    <s v="Individual"/>
    <s v="Business"/>
    <n v="24.03"/>
    <n v="1.99"/>
    <n v="26.02"/>
    <n v="14.004999999999999"/>
  </r>
  <r>
    <s v="USR00101"/>
    <x v="26"/>
    <s v="Baidoa"/>
    <s v="Individual"/>
    <s v="Basic"/>
    <n v="43.79"/>
    <n v="12.62"/>
    <n v="56.41"/>
    <n v="34.515000000000001"/>
  </r>
  <r>
    <s v="USR00105"/>
    <x v="129"/>
    <s v="Mogadishu"/>
    <s v="Individual"/>
    <s v="Premium"/>
    <n v="29.38"/>
    <n v="5.9"/>
    <n v="35.28"/>
    <n v="20.59"/>
  </r>
  <r>
    <s v="USR00260"/>
    <x v="130"/>
    <s v="Hargeisa"/>
    <s v="Student"/>
    <s v="Standard"/>
    <n v="5.86"/>
    <n v="2.0299999999999998"/>
    <n v="7.8900000000000006"/>
    <n v="4.96"/>
  </r>
  <r>
    <s v="USR00093"/>
    <x v="131"/>
    <s v="Bosaso"/>
    <s v="Individual"/>
    <s v="Basic"/>
    <n v="6.71"/>
    <n v="8.35"/>
    <n v="15.059999999999999"/>
    <n v="11.704999999999998"/>
  </r>
  <r>
    <s v="USR00205"/>
    <x v="132"/>
    <s v="Hargeisa"/>
    <s v="Individual"/>
    <s v="Basic"/>
    <n v="10.16"/>
    <n v="2.31"/>
    <n v="12.47"/>
    <n v="7.3900000000000006"/>
  </r>
  <r>
    <s v="USR00057"/>
    <x v="133"/>
    <s v="Bosaso"/>
    <s v="Individual"/>
    <s v="Basic"/>
    <n v="11.1"/>
    <n v="8.24"/>
    <n v="19.34"/>
    <n v="13.79"/>
  </r>
  <r>
    <s v="USR00020"/>
    <x v="129"/>
    <s v="Mogadishu"/>
    <s v="Business"/>
    <s v="Basic"/>
    <n v="15.77"/>
    <n v="4.72"/>
    <n v="20.49"/>
    <n v="12.604999999999999"/>
  </r>
  <r>
    <s v="USR00268"/>
    <x v="134"/>
    <s v="Hargeisa"/>
    <s v="Individual"/>
    <s v="Basic"/>
    <n v="14.72"/>
    <n v="2.93"/>
    <n v="17.650000000000002"/>
    <n v="10.290000000000001"/>
  </r>
  <r>
    <s v="USR00222"/>
    <x v="86"/>
    <s v="Baidoa"/>
    <s v="Student"/>
    <s v="Standard"/>
    <n v="44.59"/>
    <n v="1.86"/>
    <n v="46.45"/>
    <n v="24.155000000000001"/>
  </r>
  <r>
    <s v="USR00111"/>
    <x v="18"/>
    <s v="Bosaso"/>
    <s v="Individual"/>
    <s v="Standard"/>
    <n v="12.92"/>
    <n v="3.37"/>
    <n v="16.29"/>
    <n v="9.83"/>
  </r>
  <r>
    <s v="USR00253"/>
    <x v="135"/>
    <s v="Mogadishu"/>
    <s v="Student"/>
    <s v="Standard"/>
    <n v="85"/>
    <n v="1.66"/>
    <n v="86.66"/>
    <n v="44.16"/>
  </r>
  <r>
    <s v="USR00159"/>
    <x v="136"/>
    <s v="Bosaso"/>
    <s v="Business"/>
    <s v="Business"/>
    <n v="11.24"/>
    <n v="4"/>
    <n v="15.24"/>
    <n v="9.620000000000001"/>
  </r>
  <r>
    <s v="USR00175"/>
    <x v="62"/>
    <s v="Mogadishu"/>
    <s v="Individual"/>
    <s v="Business"/>
    <n v="15.8"/>
    <n v="4.26"/>
    <n v="20.060000000000002"/>
    <n v="12.16"/>
  </r>
  <r>
    <s v="USR00146"/>
    <x v="137"/>
    <s v="Mogadishu"/>
    <s v="Individual"/>
    <s v="Basic"/>
    <n v="4.34"/>
    <n v="2.08"/>
    <n v="6.42"/>
    <n v="4.25"/>
  </r>
  <r>
    <s v="USR00024"/>
    <x v="138"/>
    <s v="Hargeisa"/>
    <s v="Individual"/>
    <s v="Basic"/>
    <n v="28.24"/>
    <n v="2.37"/>
    <n v="30.61"/>
    <n v="16.489999999999998"/>
  </r>
  <r>
    <s v="USR00128"/>
    <x v="139"/>
    <s v="Mogadishu"/>
    <s v="Student"/>
    <s v="Basic"/>
    <n v="6.68"/>
    <n v="2.35"/>
    <n v="9.0299999999999994"/>
    <n v="5.6899999999999995"/>
  </r>
  <r>
    <s v="USR00234"/>
    <x v="11"/>
    <s v="Kismayo"/>
    <s v="Student"/>
    <s v="Premium"/>
    <n v="35.83"/>
    <n v="1.31"/>
    <n v="37.14"/>
    <n v="19.225000000000001"/>
  </r>
  <r>
    <s v="USR00220"/>
    <x v="140"/>
    <s v="Baidoa"/>
    <s v="Individual"/>
    <s v="Premium"/>
    <n v="39.229999999999997"/>
    <n v="1.57"/>
    <n v="40.799999999999997"/>
    <n v="21.184999999999999"/>
  </r>
  <r>
    <s v="USR00238"/>
    <x v="141"/>
    <s v="Bosaso"/>
    <s v="Individual"/>
    <s v="Standard"/>
    <n v="4.8"/>
    <n v="3.38"/>
    <n v="8.18"/>
    <n v="5.7799999999999994"/>
  </r>
  <r>
    <s v="USR00009"/>
    <x v="142"/>
    <s v="Kismayo"/>
    <s v="Student"/>
    <s v="Standard"/>
    <n v="39.43"/>
    <n v="3.21"/>
    <n v="42.64"/>
    <n v="22.925000000000001"/>
  </r>
  <r>
    <s v="USR00064"/>
    <x v="88"/>
    <s v="Kismayo"/>
    <s v="Business"/>
    <s v="Standard"/>
    <n v="29.62"/>
    <n v="9.0500000000000007"/>
    <n v="38.67"/>
    <n v="23.86"/>
  </r>
  <r>
    <s v="USR00063"/>
    <x v="143"/>
    <s v="Mogadishu"/>
    <s v="Individual"/>
    <s v="Standard"/>
    <n v="23.95"/>
    <n v="1.05"/>
    <n v="25"/>
    <n v="13.025"/>
  </r>
  <r>
    <s v="USR00223"/>
    <x v="144"/>
    <s v="Baidoa"/>
    <s v="Individual"/>
    <s v="Standard"/>
    <n v="42.4"/>
    <n v="7.54"/>
    <n v="49.94"/>
    <n v="28.74"/>
  </r>
  <r>
    <s v="USR00115"/>
    <x v="145"/>
    <s v="Garowe"/>
    <s v="Student"/>
    <s v="Standard"/>
    <n v="41.75"/>
    <n v="4.7699999999999996"/>
    <n v="46.519999999999996"/>
    <n v="25.644999999999996"/>
  </r>
  <r>
    <s v="USR00084"/>
    <x v="146"/>
    <s v="Mogadishu"/>
    <s v="Student"/>
    <s v="Standard"/>
    <n v="28.53"/>
    <n v="7.58"/>
    <n v="36.11"/>
    <n v="21.844999999999999"/>
  </r>
  <r>
    <s v="USR00255"/>
    <x v="50"/>
    <s v="Mogadishu"/>
    <s v="Individual"/>
    <s v="Business"/>
    <n v="21.19"/>
    <n v="5.32"/>
    <n v="26.51"/>
    <n v="15.915000000000001"/>
  </r>
  <r>
    <s v="USR00051"/>
    <x v="147"/>
    <s v="Kismayo"/>
    <s v="Individual"/>
    <s v="Premium"/>
    <n v="36.450000000000003"/>
    <n v="3.09"/>
    <n v="39.540000000000006"/>
    <n v="21.315000000000005"/>
  </r>
  <r>
    <s v="USR00180"/>
    <x v="148"/>
    <s v="Baidoa"/>
    <s v="Individual"/>
    <s v="Basic"/>
    <n v="3.95"/>
    <n v="4.63"/>
    <n v="8.58"/>
    <n v="6.6050000000000004"/>
  </r>
  <r>
    <s v="USR00109"/>
    <x v="109"/>
    <s v="Mogadishu"/>
    <s v="Individual"/>
    <s v="Standard"/>
    <n v="38.68"/>
    <n v="3.4"/>
    <n v="42.08"/>
    <n v="22.74"/>
  </r>
  <r>
    <s v="USR00263"/>
    <x v="149"/>
    <s v="Mogadishu"/>
    <s v="Business"/>
    <s v="Basic"/>
    <n v="43.21"/>
    <n v="7.03"/>
    <n v="50.24"/>
    <n v="28.635000000000002"/>
  </r>
  <r>
    <s v="USR00147"/>
    <x v="150"/>
    <s v="Garowe"/>
    <s v="Student"/>
    <s v="Premium"/>
    <n v="14.81"/>
    <n v="7.61"/>
    <n v="22.42"/>
    <n v="15.015000000000001"/>
  </r>
  <r>
    <s v="USR00100"/>
    <x v="151"/>
    <s v="Bosaso"/>
    <s v="Student"/>
    <s v="Standard"/>
    <n v="16.079999999999998"/>
    <n v="11.58"/>
    <n v="27.659999999999997"/>
    <n v="19.619999999999997"/>
  </r>
  <r>
    <s v="USR00150"/>
    <x v="152"/>
    <s v="Baidoa"/>
    <s v="Individual"/>
    <s v="Basic"/>
    <n v="4.6500000000000004"/>
    <n v="3.18"/>
    <n v="7.83"/>
    <n v="5.5049999999999999"/>
  </r>
  <r>
    <s v="USR00199"/>
    <x v="153"/>
    <s v="Hargeisa"/>
    <s v="Student"/>
    <s v="Basic"/>
    <n v="68.77"/>
    <n v="8.42"/>
    <n v="77.19"/>
    <n v="42.805"/>
  </r>
  <r>
    <s v="USR00191"/>
    <x v="154"/>
    <s v="Bosaso"/>
    <s v="Individual"/>
    <s v="Basic"/>
    <n v="47.6"/>
    <n v="3.8"/>
    <n v="51.4"/>
    <n v="27.599999999999998"/>
  </r>
  <r>
    <s v="USR00240"/>
    <x v="155"/>
    <s v="Garowe"/>
    <s v="Student"/>
    <s v="Basic"/>
    <n v="12.02"/>
    <n v="5.31"/>
    <n v="17.329999999999998"/>
    <n v="11.319999999999999"/>
  </r>
  <r>
    <s v="USR00019"/>
    <x v="156"/>
    <s v="Mogadishu"/>
    <s v="Student"/>
    <s v="Premium"/>
    <n v="21.7"/>
    <n v="3.62"/>
    <n v="25.32"/>
    <n v="14.47"/>
  </r>
  <r>
    <s v="USR00237"/>
    <x v="157"/>
    <s v="Mogadishu"/>
    <s v="Business"/>
    <s v="Standard"/>
    <n v="23.04"/>
    <n v="3.26"/>
    <n v="26.299999999999997"/>
    <n v="14.779999999999998"/>
  </r>
  <r>
    <s v="USR00079"/>
    <x v="158"/>
    <s v="Bosaso"/>
    <s v="Individual"/>
    <s v="Business"/>
    <n v="15.45"/>
    <n v="4.4000000000000004"/>
    <n v="19.850000000000001"/>
    <n v="12.125"/>
  </r>
  <r>
    <s v="USR00088"/>
    <x v="159"/>
    <s v="Mogadishu"/>
    <s v="Individual"/>
    <s v="Premium"/>
    <n v="26.73"/>
    <n v="4.78"/>
    <n v="31.51"/>
    <n v="18.145"/>
  </r>
  <r>
    <s v="USR00287"/>
    <x v="140"/>
    <s v="Mogadishu"/>
    <s v="Student"/>
    <s v="Basic"/>
    <n v="24.66"/>
    <n v="11.33"/>
    <n v="35.99"/>
    <n v="23.66"/>
  </r>
  <r>
    <s v="USR00134"/>
    <x v="160"/>
    <s v="Hargeisa"/>
    <s v="Individual"/>
    <s v="Premium"/>
    <n v="24.68"/>
    <n v="8.2799999999999994"/>
    <n v="32.96"/>
    <n v="20.62"/>
  </r>
  <r>
    <s v="USR00243"/>
    <x v="161"/>
    <s v="Hargeisa"/>
    <s v="Individual"/>
    <s v="Premium"/>
    <n v="15.45"/>
    <n v="3.85"/>
    <n v="19.3"/>
    <n v="11.575000000000001"/>
  </r>
  <r>
    <s v="USR00186"/>
    <x v="59"/>
    <s v="Baidoa"/>
    <s v="Individual"/>
    <s v="Basic"/>
    <n v="3.76"/>
    <n v="1.82"/>
    <n v="5.58"/>
    <n v="3.7"/>
  </r>
  <r>
    <s v="USR00214"/>
    <x v="162"/>
    <s v="Mogadishu"/>
    <s v="Student"/>
    <s v="Basic"/>
    <n v="26.61"/>
    <n v="2.6"/>
    <n v="29.21"/>
    <n v="15.905000000000001"/>
  </r>
  <r>
    <s v="USR00181"/>
    <x v="43"/>
    <s v="Bosaso"/>
    <s v="Business"/>
    <s v="Basic"/>
    <n v="9.9499999999999993"/>
    <n v="4.74"/>
    <n v="14.69"/>
    <n v="9.7149999999999999"/>
  </r>
  <r>
    <s v="USR00216"/>
    <x v="109"/>
    <s v="Mogadishu"/>
    <s v="Student"/>
    <s v="Standard"/>
    <n v="24.94"/>
    <n v="2.5299999999999998"/>
    <n v="27.470000000000002"/>
    <n v="15.000000000000002"/>
  </r>
  <r>
    <s v="USR00137"/>
    <x v="138"/>
    <s v="Garowe"/>
    <s v="Individual"/>
    <s v="Basic"/>
    <n v="15.56"/>
    <n v="-1"/>
    <n v="14.56"/>
    <n v="6.78"/>
  </r>
  <r>
    <s v="USR00131"/>
    <x v="163"/>
    <s v="Mogadishu"/>
    <s v="Business"/>
    <s v="Basic"/>
    <n v="24.78"/>
    <n v="2.52"/>
    <n v="27.3"/>
    <n v="14.91"/>
  </r>
  <r>
    <s v="USR00230"/>
    <x v="87"/>
    <s v="Mogadishu"/>
    <s v="Individual"/>
    <s v="Basic"/>
    <n v="29.57"/>
    <n v="2.52"/>
    <n v="32.090000000000003"/>
    <n v="17.305000000000003"/>
  </r>
  <r>
    <s v="USR00023"/>
    <x v="164"/>
    <s v="Hargeisa"/>
    <s v="Individual"/>
    <s v="Standard"/>
    <n v="20.79"/>
    <n v="3.96"/>
    <n v="24.75"/>
    <n v="14.355"/>
  </r>
  <r>
    <s v="USR00169"/>
    <x v="165"/>
    <s v="Kismayo"/>
    <s v="Individual"/>
    <s v="Standard"/>
    <n v="22.64"/>
    <n v="5.2"/>
    <n v="27.84"/>
    <n v="16.52"/>
  </r>
  <r>
    <s v="USR00155"/>
    <x v="166"/>
    <s v="Mogadishu"/>
    <s v="Student"/>
    <s v="Basic"/>
    <n v="25.84"/>
    <n v="3.06"/>
    <n v="28.9"/>
    <n v="15.979999999999999"/>
  </r>
  <r>
    <s v="USR00037"/>
    <x v="167"/>
    <s v="Mogadishu"/>
    <s v="Individual"/>
    <s v="Basic"/>
    <n v="32.549999999999997"/>
    <n v="2.15"/>
    <n v="34.699999999999996"/>
    <n v="18.424999999999997"/>
  </r>
  <r>
    <s v="USR00167"/>
    <x v="168"/>
    <s v="Mogadishu"/>
    <s v="Business"/>
    <s v="Premium"/>
    <n v="21.39"/>
    <n v="14.27"/>
    <n v="35.659999999999997"/>
    <n v="24.964999999999996"/>
  </r>
  <r>
    <s v="USR00118"/>
    <x v="62"/>
    <s v="Mogadishu"/>
    <s v="Student"/>
    <s v="Standard"/>
    <n v="9.7200000000000006"/>
    <n v="4.5599999999999996"/>
    <n v="14.280000000000001"/>
    <n v="9.42"/>
  </r>
  <r>
    <s v="USR00225"/>
    <x v="169"/>
    <s v="Mogadishu"/>
    <s v="Student"/>
    <s v="Basic"/>
    <n v="65.06"/>
    <n v="4.74"/>
    <n v="69.8"/>
    <n v="37.269999999999996"/>
  </r>
  <r>
    <s v="USR00279"/>
    <x v="170"/>
    <s v="Mogadishu"/>
    <s v="Individual"/>
    <s v="Standard"/>
    <n v="14.03"/>
    <n v="4.3"/>
    <n v="18.329999999999998"/>
    <n v="11.315"/>
  </r>
  <r>
    <s v="USR00114"/>
    <x v="171"/>
    <s v="Kismayo"/>
    <s v="Student"/>
    <s v="Basic"/>
    <n v="62.43"/>
    <n v="3.05"/>
    <n v="65.48"/>
    <n v="34.265000000000001"/>
  </r>
  <r>
    <s v="USR00290"/>
    <x v="172"/>
    <s v="Hargeisa"/>
    <s v="Individual"/>
    <s v="Standard"/>
    <n v="6.32"/>
    <n v="0.9"/>
    <n v="7.2200000000000006"/>
    <n v="4.0600000000000005"/>
  </r>
  <r>
    <s v="USR00283"/>
    <x v="173"/>
    <s v="Hargeisa"/>
    <s v="Individual"/>
    <s v="Standard"/>
    <n v="19.41"/>
    <n v="2.81"/>
    <n v="22.22"/>
    <n v="12.514999999999999"/>
  </r>
  <r>
    <s v="USR00075"/>
    <x v="174"/>
    <s v="Mogadishu"/>
    <s v="Individual"/>
    <s v="Standard"/>
    <n v="2.3199999999999998"/>
    <n v="7.45"/>
    <n v="9.77"/>
    <n v="8.61"/>
  </r>
  <r>
    <s v="USR00174"/>
    <x v="55"/>
    <s v="Hargeisa"/>
    <s v="Individual"/>
    <s v="Premium"/>
    <n v="17.739999999999998"/>
    <n v="1.71"/>
    <n v="19.45"/>
    <n v="10.58"/>
  </r>
  <r>
    <s v="USR00072"/>
    <x v="175"/>
    <s v="Mogadishu"/>
    <s v="Student"/>
    <s v="Standard"/>
    <n v="23.68"/>
    <n v="5.05"/>
    <n v="28.73"/>
    <n v="16.89"/>
  </r>
  <r>
    <s v="USR00107"/>
    <x v="141"/>
    <s v="Mogadishu"/>
    <s v="Business"/>
    <s v="Premium"/>
    <n v="35.46"/>
    <n v="1.64"/>
    <n v="37.1"/>
    <n v="19.37"/>
  </r>
  <r>
    <s v="USR00189"/>
    <x v="176"/>
    <s v="Garowe"/>
    <s v="Student"/>
    <s v="Business"/>
    <n v="13.45"/>
    <n v="3.13"/>
    <n v="16.579999999999998"/>
    <n v="9.8549999999999986"/>
  </r>
  <r>
    <s v="USR00016"/>
    <x v="177"/>
    <s v="Hargeisa"/>
    <s v="Student"/>
    <s v="Business"/>
    <n v="22.84"/>
    <n v="12.64"/>
    <n v="35.480000000000004"/>
    <n v="24.060000000000002"/>
  </r>
  <r>
    <s v="USR00158"/>
    <x v="178"/>
    <s v="Kismayo"/>
    <s v="Business"/>
    <s v="Standard"/>
    <n v="24.38"/>
    <n v="12.56"/>
    <n v="36.94"/>
    <n v="24.75"/>
  </r>
  <r>
    <s v="USR00106"/>
    <x v="179"/>
    <s v="Mogadishu"/>
    <s v="Individual"/>
    <s v="Basic"/>
    <n v="63.52"/>
    <n v="6.72"/>
    <n v="70.240000000000009"/>
    <n v="38.480000000000004"/>
  </r>
  <r>
    <s v="USR00112"/>
    <x v="180"/>
    <s v="Hargeisa"/>
    <s v="Individual"/>
    <s v="Basic"/>
    <n v="36.04"/>
    <n v="5.29"/>
    <n v="41.33"/>
    <n v="23.31"/>
  </r>
  <r>
    <s v="USR00089"/>
    <x v="181"/>
    <s v="Baidoa"/>
    <s v="Business"/>
    <s v="Business"/>
    <n v="27.05"/>
    <n v="1.01"/>
    <n v="28.060000000000002"/>
    <n v="14.535000000000002"/>
  </r>
  <r>
    <s v="USR00085"/>
    <x v="182"/>
    <s v="Kismayo"/>
    <s v="Business"/>
    <s v="Standard"/>
    <n v="21.11"/>
    <n v="7.04"/>
    <n v="28.15"/>
    <n v="17.594999999999999"/>
  </r>
  <r>
    <s v="USR00027"/>
    <x v="183"/>
    <s v="Bosaso"/>
    <s v="Individual"/>
    <s v="Basic"/>
    <n v="67.5"/>
    <n v="8"/>
    <n v="75.5"/>
    <n v="41.75"/>
  </r>
  <r>
    <s v="USR00233"/>
    <x v="184"/>
    <s v="Garowe"/>
    <s v="Individual"/>
    <s v="Business"/>
    <n v="15.92"/>
    <n v="5.24"/>
    <n v="21.16"/>
    <n v="13.2"/>
  </r>
  <r>
    <s v="USR00256"/>
    <x v="185"/>
    <s v="Hargeisa"/>
    <s v="Student"/>
    <s v="Standard"/>
    <n v="8.94"/>
    <n v="10.85"/>
    <n v="19.79"/>
    <n v="15.32"/>
  </r>
  <r>
    <s v="USR00003"/>
    <x v="186"/>
    <s v="Baidoa"/>
    <s v="Business"/>
    <s v="Standard"/>
    <n v="23.37"/>
    <n v="5.9"/>
    <n v="29.270000000000003"/>
    <n v="17.585000000000001"/>
  </r>
  <r>
    <s v="USR00104"/>
    <x v="187"/>
    <s v="Kismayo"/>
    <s v="Student"/>
    <s v="Basic"/>
    <n v="7.2"/>
    <n v="8.2200000000000006"/>
    <n v="15.420000000000002"/>
    <n v="11.82"/>
  </r>
  <r>
    <s v="USR00135"/>
    <x v="188"/>
    <s v="Hargeisa"/>
    <s v="Individual"/>
    <s v="Business"/>
    <n v="39.01"/>
    <n v="0.85"/>
    <n v="39.86"/>
    <n v="20.355"/>
  </r>
  <r>
    <s v="USR00210"/>
    <x v="18"/>
    <s v="Bosaso"/>
    <s v="Individual"/>
    <s v="Business"/>
    <n v="7.92"/>
    <n v="14.24"/>
    <n v="22.16"/>
    <n v="18.2"/>
  </r>
  <r>
    <s v="USR00212"/>
    <x v="189"/>
    <s v="Hargeisa"/>
    <s v="Individual"/>
    <s v="Standard"/>
    <n v="22.25"/>
    <n v="7.28"/>
    <n v="29.53"/>
    <n v="18.405000000000001"/>
  </r>
  <r>
    <s v="USR00038"/>
    <x v="190"/>
    <s v="Kismayo"/>
    <s v="Student"/>
    <s v="Basic"/>
    <n v="88.28"/>
    <n v="4.5599999999999996"/>
    <n v="92.84"/>
    <n v="48.7"/>
  </r>
  <r>
    <s v="USR00192"/>
    <x v="191"/>
    <s v="Garowe"/>
    <s v="Student"/>
    <s v="Standard"/>
    <n v="9.35"/>
    <n v="0.92"/>
    <n v="10.27"/>
    <n v="5.5949999999999998"/>
  </r>
  <r>
    <s v="USR00022"/>
    <x v="192"/>
    <s v="Mogadishu"/>
    <s v="Individual"/>
    <s v="Premium"/>
    <n v="10.02"/>
    <n v="3.97"/>
    <n v="13.99"/>
    <n v="8.98"/>
  </r>
  <r>
    <s v="USR00211"/>
    <x v="193"/>
    <s v="Mogadishu"/>
    <s v="Individual"/>
    <s v="Basic"/>
    <n v="3.84"/>
    <n v="6.35"/>
    <n v="10.19"/>
    <n v="8.27"/>
  </r>
  <r>
    <s v="USR00047"/>
    <x v="194"/>
    <s v="Garowe"/>
    <s v="Individual"/>
    <s v="Basic"/>
    <n v="23.89"/>
    <n v="3.55"/>
    <n v="27.44"/>
    <n v="15.495000000000001"/>
  </r>
  <r>
    <s v="USR00052"/>
    <x v="58"/>
    <s v="Mogadishu"/>
    <s v="Student"/>
    <s v="Standard"/>
    <n v="8.2899999999999991"/>
    <n v="0.61"/>
    <n v="8.8999999999999986"/>
    <n v="4.754999999999999"/>
  </r>
  <r>
    <s v="USR00264"/>
    <x v="195"/>
    <s v="Baidoa"/>
    <s v="Student"/>
    <s v="Premium"/>
    <n v="15.36"/>
    <n v="5.53"/>
    <n v="20.89"/>
    <n v="13.21"/>
  </r>
  <r>
    <s v="USR00288"/>
    <x v="127"/>
    <s v="Hargeisa"/>
    <s v="Student"/>
    <s v="Business"/>
    <n v="-7"/>
    <n v="5.29"/>
    <n v="-1.71"/>
    <n v="1.79"/>
  </r>
  <r>
    <s v="USR00144"/>
    <x v="196"/>
    <s v="Mogadishu"/>
    <s v="Individual"/>
    <s v="Standard"/>
    <n v="23.01"/>
    <n v="7.46"/>
    <n v="30.470000000000002"/>
    <n v="18.965"/>
  </r>
  <r>
    <s v="USR00270"/>
    <x v="197"/>
    <s v="Mogadishu"/>
    <s v="Individual"/>
    <s v="Premium"/>
    <n v="25.5"/>
    <n v="4.5999999999999996"/>
    <n v="30.1"/>
    <n v="17.350000000000001"/>
  </r>
  <r>
    <s v="USR00046"/>
    <x v="85"/>
    <s v="Mogadishu"/>
    <s v="Individual"/>
    <s v="Standard"/>
    <n v="25.47"/>
    <n v="11.17"/>
    <n v="36.64"/>
    <n v="23.905000000000001"/>
  </r>
  <r>
    <s v="USR00073"/>
    <x v="198"/>
    <s v="Mogadishu"/>
    <s v="Student"/>
    <s v="Basic"/>
    <n v="26.32"/>
    <n v="4.3099999999999996"/>
    <n v="30.63"/>
    <n v="17.47"/>
  </r>
  <r>
    <s v="USR00122"/>
    <x v="199"/>
    <s v="Baidoa"/>
    <s v="Individual"/>
    <s v="Standard"/>
    <n v="9.1300000000000008"/>
    <n v="3.72"/>
    <n v="12.850000000000001"/>
    <n v="8.2850000000000001"/>
  </r>
  <r>
    <s v="USR00133"/>
    <x v="200"/>
    <s v="Garowe"/>
    <s v="Individual"/>
    <s v="Premium"/>
    <n v="14.88"/>
    <n v="2.94"/>
    <n v="17.82"/>
    <n v="10.38"/>
  </r>
  <r>
    <s v="USR00292"/>
    <x v="201"/>
    <s v="Hargeisa"/>
    <s v="Individual"/>
    <s v="Basic"/>
    <n v="44.9"/>
    <n v="3.69"/>
    <n v="48.589999999999996"/>
    <n v="26.139999999999997"/>
  </r>
  <r>
    <s v="USR00008"/>
    <x v="202"/>
    <s v="Bosaso"/>
    <s v="Individual"/>
    <s v="Basic"/>
    <n v="13.87"/>
    <n v="1.8"/>
    <n v="15.67"/>
    <n v="8.7349999999999994"/>
  </r>
  <r>
    <s v="USR00148"/>
    <x v="203"/>
    <s v="Garowe"/>
    <s v="Student"/>
    <s v="Premium"/>
    <n v="36.42"/>
    <n v="3.75"/>
    <n v="40.17"/>
    <n v="21.96"/>
  </r>
  <r>
    <s v="USR00161"/>
    <x v="95"/>
    <s v="Baidoa"/>
    <s v="Business"/>
    <s v="Basic"/>
    <n v="22.5"/>
    <n v="7.09"/>
    <n v="29.59"/>
    <n v="18.34"/>
  </r>
  <r>
    <s v="USR00140"/>
    <x v="64"/>
    <s v="Mogadishu"/>
    <s v="Individual"/>
    <s v="Premium"/>
    <n v="50.58"/>
    <n v="0.82"/>
    <n v="51.4"/>
    <n v="26.11"/>
  </r>
  <r>
    <s v="USR00251"/>
    <x v="92"/>
    <s v="Kismayo"/>
    <s v="Individual"/>
    <s v="Basic"/>
    <n v="5.48"/>
    <n v="3.58"/>
    <n v="9.06"/>
    <n v="6.32"/>
  </r>
  <r>
    <s v="USR00110"/>
    <x v="204"/>
    <s v="Bosaso"/>
    <s v="Individual"/>
    <s v="Standard"/>
    <n v="42.55"/>
    <n v="3.67"/>
    <n v="46.22"/>
    <n v="24.945"/>
  </r>
  <r>
    <s v="USR00086"/>
    <x v="205"/>
    <s v="Mogadishu"/>
    <s v="Student"/>
    <s v="Basic"/>
    <n v="17.16"/>
    <n v="2.1800000000000002"/>
    <n v="19.34"/>
    <n v="10.76"/>
  </r>
  <r>
    <s v="USR00154"/>
    <x v="149"/>
    <s v="Kismayo"/>
    <s v="Business"/>
    <s v="Standard"/>
    <n v="21.12"/>
    <n v="8.4700000000000006"/>
    <n v="29.590000000000003"/>
    <n v="19.03"/>
  </r>
  <r>
    <s v="USR00068"/>
    <x v="86"/>
    <s v="Mogadishu"/>
    <s v="Student"/>
    <s v="Premium"/>
    <n v="10.84"/>
    <n v="11"/>
    <n v="21.84"/>
    <n v="16.420000000000002"/>
  </r>
  <r>
    <s v="USR00197"/>
    <x v="133"/>
    <s v="Garowe"/>
    <s v="Business"/>
    <s v="Basic"/>
    <n v="15.56"/>
    <n v="3.93"/>
    <n v="19.490000000000002"/>
    <n v="11.71"/>
  </r>
  <r>
    <s v="USR00142"/>
    <x v="206"/>
    <s v="Mogadishu"/>
    <s v="Individual"/>
    <s v="Basic"/>
    <n v="11.62"/>
    <n v="5.21"/>
    <n v="16.829999999999998"/>
    <n v="11.02"/>
  </r>
  <r>
    <s v="USR00001"/>
    <x v="196"/>
    <s v="Mogadishu"/>
    <s v="Individual"/>
    <s v="Basic"/>
    <n v="12.12"/>
    <n v="3.18"/>
    <n v="15.299999999999999"/>
    <n v="9.24"/>
  </r>
  <r>
    <s v="USR00147"/>
    <x v="207"/>
    <s v="Mogadishu"/>
    <s v="Individual"/>
    <s v="Basic"/>
    <n v="14.81"/>
    <n v="10.32"/>
    <n v="25.130000000000003"/>
    <n v="17.725000000000001"/>
  </r>
  <r>
    <s v="USR00276"/>
    <x v="208"/>
    <s v="Hargeisa"/>
    <s v="Business"/>
    <s v="Premium"/>
    <n v="49.1"/>
    <n v="12.67"/>
    <n v="61.77"/>
    <n v="37.22"/>
  </r>
  <r>
    <s v="USR00187"/>
    <x v="63"/>
    <s v="Garowe"/>
    <s v="Individual"/>
    <s v="Premium"/>
    <n v="54.97"/>
    <n v="2.74"/>
    <n v="57.71"/>
    <n v="30.225000000000001"/>
  </r>
  <r>
    <s v="USR00045"/>
    <x v="209"/>
    <s v="Mogadishu"/>
    <s v="Individual"/>
    <s v="Basic"/>
    <n v="4.22"/>
    <n v="3.17"/>
    <n v="7.39"/>
    <n v="5.2799999999999994"/>
  </r>
  <r>
    <s v="USR00132"/>
    <x v="210"/>
    <s v="Kismayo"/>
    <s v="Student"/>
    <s v="Basic"/>
    <n v="21.55"/>
    <n v="4.51"/>
    <n v="26.060000000000002"/>
    <n v="15.285"/>
  </r>
  <r>
    <s v="USR00269"/>
    <x v="211"/>
    <s v="Hargeisa"/>
    <s v="Individual"/>
    <s v="Business"/>
    <n v="68.010000000000005"/>
    <n v="8.84"/>
    <n v="76.850000000000009"/>
    <n v="42.845000000000006"/>
  </r>
  <r>
    <s v="USR00145"/>
    <x v="22"/>
    <s v="Mogadishu"/>
    <s v="Business"/>
    <s v="Premium"/>
    <n v="63.67"/>
    <n v="2.74"/>
    <n v="66.41"/>
    <n v="34.574999999999996"/>
  </r>
  <r>
    <s v="USR00056"/>
    <x v="212"/>
    <s v="Mogadishu"/>
    <s v="Business"/>
    <s v="Standard"/>
    <n v="18.34"/>
    <n v="4.75"/>
    <n v="23.09"/>
    <n v="13.92"/>
  </r>
  <r>
    <s v="USR00162"/>
    <x v="213"/>
    <s v="Mogadishu"/>
    <s v="Student"/>
    <s v="Basic"/>
    <n v="6.37"/>
    <n v="2.95"/>
    <n v="9.32"/>
    <n v="6.1349999999999998"/>
  </r>
  <r>
    <s v="USR00028"/>
    <x v="214"/>
    <s v="Garowe"/>
    <s v="Individual"/>
    <s v="Basic"/>
    <n v="12.88"/>
    <n v="1.1499999999999999"/>
    <n v="14.030000000000001"/>
    <n v="7.5900000000000007"/>
  </r>
  <r>
    <s v="USR00017"/>
    <x v="215"/>
    <s v="Mogadishu"/>
    <s v="Business"/>
    <s v="Premium"/>
    <n v="2.94"/>
    <n v="5.03"/>
    <n v="7.9700000000000006"/>
    <n v="6.5"/>
  </r>
  <r>
    <s v="USR00092"/>
    <x v="216"/>
    <s v="Garowe"/>
    <s v="Individual"/>
    <s v="Basic"/>
    <n v="51.95"/>
    <n v="5.16"/>
    <n v="57.11"/>
    <n v="31.134999999999998"/>
  </r>
  <r>
    <s v="USR00182"/>
    <x v="217"/>
    <s v="Mogadishu"/>
    <s v="Student"/>
    <s v="Basic"/>
    <n v="20.89"/>
    <n v="2.4300000000000002"/>
    <n v="23.32"/>
    <n v="12.875"/>
  </r>
  <r>
    <s v="USR00226"/>
    <x v="218"/>
    <s v="Mogadishu"/>
    <s v="Individual"/>
    <s v="Premium"/>
    <n v="18.14"/>
    <n v="4.76"/>
    <n v="22.9"/>
    <n v="13.829999999999998"/>
  </r>
  <r>
    <s v="USR00213"/>
    <x v="66"/>
    <s v="Hargeisa"/>
    <s v="Individual"/>
    <s v="Premium"/>
    <n v="20.18"/>
    <n v="10.14"/>
    <n v="30.32"/>
    <n v="20.23"/>
  </r>
  <r>
    <s v="USR00119"/>
    <x v="117"/>
    <s v="Baidoa"/>
    <s v="Business"/>
    <s v="Premium"/>
    <n v="11.69"/>
    <n v="1.96"/>
    <n v="13.649999999999999"/>
    <n v="7.8049999999999997"/>
  </r>
  <r>
    <s v="USR00123"/>
    <x v="219"/>
    <s v="Bosaso"/>
    <s v="Student"/>
    <s v="Standard"/>
    <n v="20.93"/>
    <n v="3.94"/>
    <n v="24.87"/>
    <n v="14.405000000000001"/>
  </r>
  <r>
    <s v="USR00036"/>
    <x v="220"/>
    <s v="Mogadishu"/>
    <s v="Individual"/>
    <s v="Standard"/>
    <n v="38.299999999999997"/>
    <n v="4.96"/>
    <n v="43.26"/>
    <n v="24.11"/>
  </r>
  <r>
    <s v="USR00066"/>
    <x v="221"/>
    <s v="Mogadishu"/>
    <s v="Individual"/>
    <s v="Standard"/>
    <n v="48"/>
    <n v="1.93"/>
    <n v="49.93"/>
    <n v="25.93"/>
  </r>
  <r>
    <s v="USR00060"/>
    <x v="222"/>
    <s v="Mogadishu"/>
    <s v="Business"/>
    <s v="Premium"/>
    <n v="28.12"/>
    <s v="-"/>
    <n v="28.12"/>
    <n v="28.12"/>
  </r>
  <r>
    <s v="USR00203"/>
    <x v="102"/>
    <s v="Mogadishu"/>
    <s v="Student"/>
    <s v="Standard"/>
    <n v="45.51"/>
    <n v="4.9800000000000004"/>
    <n v="50.489999999999995"/>
    <n v="27.734999999999999"/>
  </r>
  <r>
    <s v="USR00277"/>
    <x v="223"/>
    <s v="Hargeisa"/>
    <s v="Student"/>
    <s v="Standard"/>
    <n v="11.63"/>
    <n v="3.21"/>
    <n v="14.84"/>
    <n v="9.0250000000000004"/>
  </r>
  <r>
    <s v="USR00250"/>
    <x v="184"/>
    <s v="Hargeisa"/>
    <s v="Student"/>
    <s v="Basic"/>
    <n v="8.94"/>
    <n v="5.24"/>
    <n v="14.18"/>
    <n v="9.7100000000000009"/>
  </r>
  <r>
    <s v="USR00104"/>
    <x v="224"/>
    <s v="Mogadishu"/>
    <s v="Business"/>
    <s v="Business"/>
    <n v="62.86"/>
    <n v="3.63"/>
    <n v="66.489999999999995"/>
    <n v="35.059999999999995"/>
  </r>
  <r>
    <s v="USR00002"/>
    <x v="225"/>
    <s v="Kismayo"/>
    <s v="Student"/>
    <s v="Premium"/>
    <n v="37.78"/>
    <n v="9.98"/>
    <n v="47.760000000000005"/>
    <n v="28.870000000000005"/>
  </r>
  <r>
    <s v="USR00209"/>
    <x v="219"/>
    <s v="Baidoa"/>
    <s v="Business"/>
    <s v="Basic"/>
    <n v="28.19"/>
    <n v="1.61"/>
    <n v="29.8"/>
    <n v="15.705"/>
  </r>
  <r>
    <s v="USR00228"/>
    <x v="226"/>
    <s v="Hargeisa"/>
    <s v="Individual"/>
    <s v="Standard"/>
    <n v="38.299999999999997"/>
    <n v="4.96"/>
    <n v="43.26"/>
    <n v="24.11"/>
  </r>
  <r>
    <s v="USR00066"/>
    <x v="227"/>
    <s v="Garowe"/>
    <s v="Individual"/>
    <s v="Premium"/>
    <n v="63.67"/>
    <n v="11.58"/>
    <n v="75.25"/>
    <n v="43.414999999999999"/>
  </r>
  <r>
    <s v="USR00012"/>
    <x v="156"/>
    <s v="Baidoa"/>
    <s v="Individual"/>
    <s v="Business"/>
    <n v="61.74"/>
    <n v="4.1399999999999997"/>
    <n v="65.88"/>
    <n v="35.01"/>
  </r>
  <r>
    <s v="USR00103"/>
    <x v="148"/>
    <s v="Kismayo"/>
    <s v="Individual"/>
    <s v="Business"/>
    <n v="77.84"/>
    <n v="14.61"/>
    <n v="92.45"/>
    <n v="53.53"/>
  </r>
  <r>
    <s v="USR00061"/>
    <x v="31"/>
    <s v="Baidoa"/>
    <s v="Individual"/>
    <s v="Standard"/>
    <n v="21.35"/>
    <n v="6.8"/>
    <n v="28.150000000000002"/>
    <n v="17.475000000000001"/>
  </r>
  <r>
    <s v="USR00055"/>
    <x v="121"/>
    <s v="Kismayo"/>
    <s v="Student"/>
    <s v="Premium"/>
    <n v="50.4"/>
    <n v="8.23"/>
    <n v="58.629999999999995"/>
    <n v="33.4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
  <r>
    <s v="USR00007"/>
    <x v="0"/>
    <x v="0"/>
    <x v="0"/>
    <s v="Business"/>
    <n v="48.37"/>
    <n v="3.55"/>
    <n v="51.919999999999995"/>
    <n v="27.734999999999996"/>
    <s v="1..USER ID"/>
    <s v="15 BLANK"/>
    <d v="2026-08-25T17:14:58"/>
    <n v="25"/>
    <d v="2026-08-25T00:00:00"/>
    <n v="8"/>
    <n v="2026"/>
    <d v="2026-08-25T00:00:00"/>
    <n v="235"/>
    <n v="282"/>
    <n v="-1.71"/>
    <n v="92.84"/>
    <n v="28.15"/>
    <n v="9130.600000000004"/>
    <n v="53.53"/>
    <n v="3091.6400000000003"/>
    <s v="high"/>
    <s v="high"/>
    <b v="1"/>
    <b v="1"/>
  </r>
  <r>
    <s v="USR00160"/>
    <x v="1"/>
    <x v="1"/>
    <x v="1"/>
    <s v="Basic"/>
    <n v="19.05"/>
    <n v="0.64"/>
    <n v="19.690000000000001"/>
    <n v="10.165000000000001"/>
    <s v="2..USAGE DATE"/>
    <s v="18 .BALANK, 1.N/A,1.UNKOWN,1..NULL =21 BLANK"/>
    <m/>
    <m/>
    <m/>
    <m/>
    <m/>
    <m/>
    <m/>
    <m/>
    <m/>
    <m/>
    <m/>
    <m/>
    <m/>
    <m/>
    <s v="low"/>
    <s v="low"/>
    <b v="1"/>
    <b v="1"/>
  </r>
  <r>
    <s v="USR00013"/>
    <x v="2"/>
    <x v="2"/>
    <x v="1"/>
    <s v="Business"/>
    <n v="7.95"/>
    <n v="2.09"/>
    <n v="10.039999999999999"/>
    <n v="6.0649999999999995"/>
    <s v="3..REGION"/>
    <s v="16 BLANK TOTAL MISING"/>
    <m/>
    <m/>
    <m/>
    <m/>
    <m/>
    <m/>
    <m/>
    <m/>
    <m/>
    <m/>
    <m/>
    <m/>
    <m/>
    <m/>
    <s v="low"/>
    <s v="low"/>
    <b v="0"/>
    <b v="1"/>
  </r>
  <r>
    <s v="USR00229"/>
    <x v="3"/>
    <x v="0"/>
    <x v="1"/>
    <s v="Business"/>
    <n v="78.87"/>
    <n v="6.97"/>
    <n v="85.84"/>
    <n v="46.405000000000001"/>
    <s v="4..USER TYPE"/>
    <s v="15.BLANK,1..NA,1..UNKOWN =17 TOTAL MSING"/>
    <m/>
    <m/>
    <m/>
    <m/>
    <m/>
    <m/>
    <m/>
    <m/>
    <m/>
    <m/>
    <m/>
    <m/>
    <m/>
    <m/>
    <s v="high"/>
    <s v="high"/>
    <b v="0"/>
    <b v="1"/>
  </r>
  <r>
    <s v="USR00168"/>
    <x v="4"/>
    <x v="0"/>
    <x v="1"/>
    <s v="Standard"/>
    <n v="49.49"/>
    <n v="12.76"/>
    <n v="62.25"/>
    <n v="37.505000000000003"/>
    <s v="5..PLAN TYPE"/>
    <s v="16.BLANK, 1..NA =17 TOTAL MISING"/>
    <m/>
    <m/>
    <m/>
    <m/>
    <m/>
    <m/>
    <m/>
    <m/>
    <m/>
    <m/>
    <m/>
    <m/>
    <m/>
    <m/>
    <s v="high"/>
    <s v="high"/>
    <b v="0"/>
    <b v="1"/>
  </r>
  <r>
    <s v="USR00033"/>
    <x v="5"/>
    <x v="2"/>
    <x v="1"/>
    <s v="Business"/>
    <n v="43.44"/>
    <n v="7.37"/>
    <n v="50.809999999999995"/>
    <n v="29.089999999999996"/>
    <s v="6..DATA USAGE"/>
    <s v="15.BLANK,1..NA,1..NULL,  =17 TOTAL MISING"/>
    <m/>
    <m/>
    <m/>
    <m/>
    <m/>
    <m/>
    <m/>
    <m/>
    <m/>
    <m/>
    <m/>
    <m/>
    <m/>
    <m/>
    <s v="high"/>
    <s v="high"/>
    <b v="1"/>
    <b v="1"/>
  </r>
  <r>
    <s v="USR00200"/>
    <x v="6"/>
    <x v="3"/>
    <x v="2"/>
    <s v="Premium"/>
    <n v="69.59"/>
    <n v="7.05"/>
    <n v="76.64"/>
    <n v="41.844999999999999"/>
    <s v="7..SESISION HOURS"/>
    <s v="16.BLANK,1..UNKNOWN =17 TOTAL MISSING"/>
    <m/>
    <m/>
    <m/>
    <m/>
    <m/>
    <m/>
    <m/>
    <m/>
    <m/>
    <m/>
    <m/>
    <m/>
    <m/>
    <m/>
    <s v="high"/>
    <s v="high"/>
    <b v="0"/>
    <b v="1"/>
  </r>
  <r>
    <s v="USR00265"/>
    <x v="7"/>
    <x v="0"/>
    <x v="1"/>
    <s v="Standard"/>
    <n v="12.72"/>
    <n v="7.49"/>
    <n v="20.21"/>
    <n v="13.850000000000001"/>
    <s v="8.dublicate"/>
    <n v="0"/>
    <m/>
    <m/>
    <m/>
    <m/>
    <m/>
    <m/>
    <m/>
    <m/>
    <m/>
    <m/>
    <m/>
    <m/>
    <m/>
    <m/>
    <s v="low"/>
    <s v="medium"/>
    <b v="1"/>
    <b v="1"/>
  </r>
  <r>
    <s v="USR00165"/>
    <x v="8"/>
    <x v="1"/>
    <x v="1"/>
    <s v="Standard"/>
    <n v="47.49"/>
    <n v="4.2"/>
    <n v="51.690000000000005"/>
    <n v="27.945000000000004"/>
    <m/>
    <s v="3 kale ayan dalede oo palnk ku badnaa colom yada"/>
    <m/>
    <m/>
    <m/>
    <m/>
    <m/>
    <m/>
    <m/>
    <m/>
    <m/>
    <m/>
    <m/>
    <m/>
    <m/>
    <m/>
    <s v="high"/>
    <s v="high"/>
    <b v="1"/>
    <b v="1"/>
  </r>
  <r>
    <s v="USR00071"/>
    <x v="9"/>
    <x v="4"/>
    <x v="1"/>
    <s v="Basic"/>
    <n v="14.99"/>
    <n v="3.97"/>
    <n v="18.96"/>
    <n v="11.465"/>
    <m/>
    <m/>
    <m/>
    <m/>
    <m/>
    <m/>
    <m/>
    <m/>
    <m/>
    <m/>
    <m/>
    <m/>
    <m/>
    <m/>
    <m/>
    <m/>
    <s v="low"/>
    <s v="low"/>
    <b v="1"/>
    <b v="1"/>
  </r>
  <r>
    <s v="USR00099"/>
    <x v="10"/>
    <x v="5"/>
    <x v="1"/>
    <s v="Standard"/>
    <n v="8.7100000000000009"/>
    <n v="4.3"/>
    <n v="13.010000000000002"/>
    <n v="8.6550000000000011"/>
    <m/>
    <m/>
    <m/>
    <m/>
    <m/>
    <m/>
    <m/>
    <m/>
    <m/>
    <m/>
    <m/>
    <m/>
    <m/>
    <m/>
    <m/>
    <m/>
    <s v="low"/>
    <s v="low"/>
    <b v="0"/>
    <b v="1"/>
  </r>
  <r>
    <s v="USR00163"/>
    <x v="11"/>
    <x v="4"/>
    <x v="2"/>
    <s v="Basic"/>
    <n v="20.58"/>
    <n v="4.5199999999999996"/>
    <n v="25.099999999999998"/>
    <n v="14.809999999999999"/>
    <m/>
    <m/>
    <m/>
    <m/>
    <m/>
    <m/>
    <m/>
    <m/>
    <m/>
    <m/>
    <m/>
    <m/>
    <m/>
    <m/>
    <m/>
    <m/>
    <s v="low"/>
    <s v="medium"/>
    <b v="1"/>
    <b v="1"/>
  </r>
  <r>
    <s v="USR00054"/>
    <x v="12"/>
    <x v="3"/>
    <x v="1"/>
    <s v="Business"/>
    <n v="3.76"/>
    <n v="2.4300000000000002"/>
    <n v="6.1899999999999995"/>
    <n v="4.3099999999999996"/>
    <m/>
    <m/>
    <m/>
    <m/>
    <m/>
    <m/>
    <m/>
    <m/>
    <m/>
    <m/>
    <m/>
    <m/>
    <m/>
    <m/>
    <m/>
    <m/>
    <s v="low"/>
    <s v="low"/>
    <b v="0"/>
    <b v="1"/>
  </r>
  <r>
    <s v="USR00116"/>
    <x v="13"/>
    <x v="0"/>
    <x v="1"/>
    <s v="Basic"/>
    <n v="4"/>
    <n v="8.3800000000000008"/>
    <n v="12.38"/>
    <n v="10.38"/>
    <m/>
    <m/>
    <m/>
    <m/>
    <m/>
    <m/>
    <m/>
    <m/>
    <m/>
    <m/>
    <m/>
    <m/>
    <m/>
    <m/>
    <m/>
    <m/>
    <s v="low"/>
    <s v="low"/>
    <b v="1"/>
    <b v="1"/>
  </r>
  <r>
    <s v="USR00259"/>
    <x v="14"/>
    <x v="5"/>
    <x v="0"/>
    <s v="Basic"/>
    <n v="21.81"/>
    <n v="3.72"/>
    <n v="25.529999999999998"/>
    <n v="14.624999999999998"/>
    <m/>
    <m/>
    <m/>
    <m/>
    <m/>
    <m/>
    <m/>
    <m/>
    <m/>
    <m/>
    <m/>
    <m/>
    <m/>
    <m/>
    <m/>
    <m/>
    <s v="low"/>
    <s v="medium"/>
    <b v="1"/>
    <b v="1"/>
  </r>
  <r>
    <s v="USR00239"/>
    <x v="15"/>
    <x v="4"/>
    <x v="0"/>
    <s v="Basic"/>
    <n v="5.12"/>
    <n v="2.64"/>
    <n v="7.76"/>
    <n v="5.2"/>
    <m/>
    <m/>
    <m/>
    <m/>
    <m/>
    <m/>
    <m/>
    <m/>
    <m/>
    <m/>
    <m/>
    <m/>
    <m/>
    <m/>
    <m/>
    <m/>
    <s v="low"/>
    <s v="low"/>
    <b v="0"/>
    <b v="1"/>
  </r>
  <r>
    <s v="USR00102"/>
    <x v="16"/>
    <x v="0"/>
    <x v="1"/>
    <s v="Standard"/>
    <n v="22.72"/>
    <n v="2.11"/>
    <n v="24.83"/>
    <n v="13.469999999999999"/>
    <m/>
    <m/>
    <m/>
    <m/>
    <m/>
    <m/>
    <m/>
    <m/>
    <m/>
    <m/>
    <m/>
    <m/>
    <m/>
    <m/>
    <m/>
    <m/>
    <s v="low"/>
    <s v="medium"/>
    <b v="1"/>
    <b v="1"/>
  </r>
  <r>
    <s v="USR00074"/>
    <x v="17"/>
    <x v="4"/>
    <x v="1"/>
    <s v="Premium"/>
    <n v="32.450000000000003"/>
    <n v="5.43"/>
    <n v="37.880000000000003"/>
    <n v="21.655000000000001"/>
    <m/>
    <m/>
    <m/>
    <m/>
    <m/>
    <m/>
    <m/>
    <m/>
    <m/>
    <m/>
    <m/>
    <m/>
    <m/>
    <m/>
    <m/>
    <m/>
    <s v="high"/>
    <s v="high"/>
    <b v="1"/>
    <b v="1"/>
  </r>
  <r>
    <s v="USR00029"/>
    <x v="18"/>
    <x v="3"/>
    <x v="1"/>
    <s v="Basic"/>
    <n v="45.51"/>
    <n v="11.19"/>
    <n v="56.699999999999996"/>
    <n v="33.945"/>
    <m/>
    <m/>
    <m/>
    <m/>
    <m/>
    <m/>
    <m/>
    <m/>
    <m/>
    <m/>
    <m/>
    <m/>
    <m/>
    <m/>
    <m/>
    <m/>
    <s v="high"/>
    <s v="high"/>
    <b v="0"/>
    <b v="1"/>
  </r>
  <r>
    <s v="USR00219"/>
    <x v="19"/>
    <x v="3"/>
    <x v="1"/>
    <s v="Basic"/>
    <n v="26.05"/>
    <n v="1.82"/>
    <n v="27.87"/>
    <n v="14.845000000000001"/>
    <m/>
    <m/>
    <m/>
    <m/>
    <m/>
    <m/>
    <m/>
    <m/>
    <m/>
    <m/>
    <m/>
    <m/>
    <m/>
    <m/>
    <m/>
    <m/>
    <s v="low"/>
    <s v="medium"/>
    <b v="1"/>
    <b v="1"/>
  </r>
  <r>
    <s v="USR00050"/>
    <x v="20"/>
    <x v="0"/>
    <x v="2"/>
    <s v="Premium"/>
    <n v="2.92"/>
    <n v="2.95"/>
    <n v="5.87"/>
    <n v="4.41"/>
    <m/>
    <m/>
    <m/>
    <m/>
    <m/>
    <m/>
    <m/>
    <m/>
    <m/>
    <m/>
    <m/>
    <m/>
    <m/>
    <m/>
    <m/>
    <m/>
    <s v="low"/>
    <s v="low"/>
    <b v="0"/>
    <b v="1"/>
  </r>
  <r>
    <s v="USR00286"/>
    <x v="21"/>
    <x v="4"/>
    <x v="1"/>
    <s v="Premium"/>
    <n v="7.98"/>
    <n v="0.82"/>
    <n v="8.8000000000000007"/>
    <n v="4.8100000000000005"/>
    <m/>
    <m/>
    <m/>
    <m/>
    <m/>
    <m/>
    <m/>
    <m/>
    <m/>
    <m/>
    <m/>
    <m/>
    <m/>
    <m/>
    <m/>
    <m/>
    <s v="low"/>
    <s v="low"/>
    <b v="0"/>
    <b v="1"/>
  </r>
  <r>
    <s v="USR00202"/>
    <x v="22"/>
    <x v="0"/>
    <x v="2"/>
    <s v="Business"/>
    <n v="59.1"/>
    <n v="4.6399999999999997"/>
    <n v="63.74"/>
    <n v="34.19"/>
    <m/>
    <m/>
    <m/>
    <m/>
    <m/>
    <m/>
    <m/>
    <m/>
    <m/>
    <m/>
    <m/>
    <m/>
    <m/>
    <m/>
    <m/>
    <m/>
    <s v="high"/>
    <s v="high"/>
    <b v="0"/>
    <b v="1"/>
  </r>
  <r>
    <s v="USR00127"/>
    <x v="23"/>
    <x v="5"/>
    <x v="0"/>
    <s v="Premium"/>
    <n v="45.55"/>
    <n v="11.72"/>
    <n v="57.269999999999996"/>
    <n v="34.494999999999997"/>
    <m/>
    <m/>
    <m/>
    <m/>
    <m/>
    <m/>
    <m/>
    <m/>
    <m/>
    <m/>
    <m/>
    <m/>
    <m/>
    <m/>
    <m/>
    <m/>
    <s v="high"/>
    <s v="high"/>
    <b v="0"/>
    <b v="1"/>
  </r>
  <r>
    <s v="USR00173"/>
    <x v="24"/>
    <x v="0"/>
    <x v="0"/>
    <s v="Standard"/>
    <n v="60.66"/>
    <n v="7.84"/>
    <n v="68.5"/>
    <n v="38.17"/>
    <m/>
    <m/>
    <m/>
    <m/>
    <m/>
    <m/>
    <m/>
    <m/>
    <m/>
    <m/>
    <m/>
    <m/>
    <m/>
    <m/>
    <m/>
    <m/>
    <s v="high"/>
    <s v="high"/>
    <b v="0"/>
    <b v="1"/>
  </r>
  <r>
    <s v="USR00246"/>
    <x v="25"/>
    <x v="4"/>
    <x v="0"/>
    <s v="Standard"/>
    <n v="32.44"/>
    <n v="8.06"/>
    <n v="40.5"/>
    <n v="24.28"/>
    <m/>
    <m/>
    <m/>
    <m/>
    <m/>
    <m/>
    <m/>
    <m/>
    <m/>
    <m/>
    <m/>
    <m/>
    <m/>
    <m/>
    <m/>
    <m/>
    <s v="high"/>
    <s v="high"/>
    <b v="1"/>
    <b v="1"/>
  </r>
  <r>
    <s v="USR00015"/>
    <x v="26"/>
    <x v="0"/>
    <x v="1"/>
    <s v="Basic"/>
    <n v="43.16"/>
    <n v="2.48"/>
    <n v="45.639999999999993"/>
    <n v="24.059999999999995"/>
    <m/>
    <m/>
    <m/>
    <m/>
    <m/>
    <m/>
    <m/>
    <m/>
    <m/>
    <m/>
    <m/>
    <m/>
    <m/>
    <m/>
    <m/>
    <m/>
    <s v="high"/>
    <s v="high"/>
    <b v="1"/>
    <b v="1"/>
  </r>
  <r>
    <s v="USR00172"/>
    <x v="27"/>
    <x v="0"/>
    <x v="1"/>
    <s v="Basic"/>
    <n v="7.23"/>
    <n v="4.47"/>
    <n v="11.7"/>
    <n v="8.0849999999999991"/>
    <m/>
    <m/>
    <m/>
    <m/>
    <m/>
    <m/>
    <m/>
    <m/>
    <m/>
    <m/>
    <m/>
    <m/>
    <m/>
    <m/>
    <m/>
    <m/>
    <s v="low"/>
    <s v="low"/>
    <b v="0"/>
    <b v="1"/>
  </r>
  <r>
    <s v="USR00248"/>
    <x v="3"/>
    <x v="0"/>
    <x v="0"/>
    <s v="Basic"/>
    <n v="3.05"/>
    <n v="4.53"/>
    <n v="7.58"/>
    <n v="6.0549999999999997"/>
    <m/>
    <m/>
    <m/>
    <m/>
    <m/>
    <m/>
    <m/>
    <m/>
    <m/>
    <m/>
    <m/>
    <m/>
    <m/>
    <m/>
    <m/>
    <m/>
    <s v="low"/>
    <s v="low"/>
    <b v="0"/>
    <b v="1"/>
  </r>
  <r>
    <s v="USR00218"/>
    <x v="28"/>
    <x v="4"/>
    <x v="1"/>
    <s v="Standard"/>
    <n v="9"/>
    <n v="7.83"/>
    <n v="16.829999999999998"/>
    <n v="12.329999999999998"/>
    <m/>
    <m/>
    <m/>
    <m/>
    <m/>
    <m/>
    <m/>
    <m/>
    <m/>
    <m/>
    <m/>
    <m/>
    <m/>
    <m/>
    <m/>
    <m/>
    <s v="low"/>
    <s v="low"/>
    <b v="1"/>
    <b v="1"/>
  </r>
  <r>
    <s v="USR00043"/>
    <x v="24"/>
    <x v="1"/>
    <x v="0"/>
    <s v="Premium"/>
    <n v="42.89"/>
    <n v="4.78"/>
    <n v="47.67"/>
    <n v="26.225000000000001"/>
    <m/>
    <m/>
    <m/>
    <m/>
    <m/>
    <m/>
    <m/>
    <m/>
    <m/>
    <m/>
    <m/>
    <m/>
    <m/>
    <m/>
    <m/>
    <m/>
    <s v="high"/>
    <s v="high"/>
    <b v="1"/>
    <b v="1"/>
  </r>
  <r>
    <s v="USR00190"/>
    <x v="29"/>
    <x v="0"/>
    <x v="2"/>
    <s v="Standard"/>
    <n v="27.07"/>
    <n v="2.6"/>
    <n v="29.67"/>
    <n v="16.135000000000002"/>
    <m/>
    <m/>
    <m/>
    <m/>
    <m/>
    <m/>
    <m/>
    <m/>
    <m/>
    <m/>
    <m/>
    <m/>
    <m/>
    <m/>
    <m/>
    <m/>
    <s v="low"/>
    <s v="medium"/>
    <b v="1"/>
    <b v="1"/>
  </r>
  <r>
    <s v="USR00113"/>
    <x v="30"/>
    <x v="2"/>
    <x v="2"/>
    <s v="Standard"/>
    <n v="19.510000000000002"/>
    <n v="2.23"/>
    <n v="21.740000000000002"/>
    <n v="11.985000000000001"/>
    <m/>
    <m/>
    <m/>
    <m/>
    <m/>
    <m/>
    <m/>
    <m/>
    <m/>
    <m/>
    <m/>
    <m/>
    <m/>
    <m/>
    <m/>
    <m/>
    <s v="low"/>
    <s v="medium"/>
    <b v="1"/>
    <b v="1"/>
  </r>
  <r>
    <s v="USR00083"/>
    <x v="31"/>
    <x v="0"/>
    <x v="1"/>
    <s v="Standard"/>
    <n v="24.41"/>
    <n v="3.37"/>
    <n v="27.78"/>
    <n v="15.575000000000001"/>
    <m/>
    <m/>
    <m/>
    <m/>
    <m/>
    <m/>
    <m/>
    <m/>
    <m/>
    <m/>
    <m/>
    <m/>
    <m/>
    <m/>
    <m/>
    <m/>
    <s v="low"/>
    <s v="medium"/>
    <b v="1"/>
    <b v="1"/>
  </r>
  <r>
    <s v="USR00247"/>
    <x v="32"/>
    <x v="5"/>
    <x v="1"/>
    <s v="Premium"/>
    <n v="20"/>
    <n v="11.33"/>
    <n v="31.33"/>
    <n v="21.33"/>
    <m/>
    <m/>
    <m/>
    <m/>
    <m/>
    <m/>
    <m/>
    <m/>
    <m/>
    <m/>
    <m/>
    <m/>
    <m/>
    <m/>
    <m/>
    <m/>
    <s v="high"/>
    <s v="high"/>
    <b v="1"/>
    <b v="1"/>
  </r>
  <r>
    <s v="USR00034"/>
    <x v="33"/>
    <x v="4"/>
    <x v="1"/>
    <s v="Basic"/>
    <n v="18.079999999999998"/>
    <n v="1.41"/>
    <n v="19.489999999999998"/>
    <n v="10.45"/>
    <m/>
    <m/>
    <m/>
    <m/>
    <m/>
    <m/>
    <m/>
    <m/>
    <m/>
    <m/>
    <m/>
    <m/>
    <m/>
    <m/>
    <m/>
    <m/>
    <s v="low"/>
    <s v="low"/>
    <b v="1"/>
    <b v="1"/>
  </r>
  <r>
    <s v="USR00014"/>
    <x v="34"/>
    <x v="3"/>
    <x v="2"/>
    <s v="Basic"/>
    <n v="9.57"/>
    <n v="1.99"/>
    <n v="11.56"/>
    <n v="6.7750000000000004"/>
    <m/>
    <m/>
    <m/>
    <m/>
    <m/>
    <m/>
    <m/>
    <m/>
    <m/>
    <m/>
    <m/>
    <m/>
    <m/>
    <m/>
    <m/>
    <m/>
    <s v="low"/>
    <s v="low"/>
    <b v="0"/>
    <b v="1"/>
  </r>
  <r>
    <s v="USR00242"/>
    <x v="35"/>
    <x v="0"/>
    <x v="1"/>
    <s v="Premium"/>
    <n v="40.69"/>
    <n v="6.45"/>
    <n v="47.14"/>
    <n v="26.795000000000002"/>
    <m/>
    <m/>
    <m/>
    <m/>
    <m/>
    <m/>
    <m/>
    <m/>
    <m/>
    <m/>
    <m/>
    <m/>
    <m/>
    <m/>
    <m/>
    <m/>
    <s v="high"/>
    <s v="high"/>
    <b v="1"/>
    <b v="1"/>
  </r>
  <r>
    <s v="USR00188"/>
    <x v="36"/>
    <x v="5"/>
    <x v="1"/>
    <s v="Premium"/>
    <n v="39"/>
    <n v="7.8"/>
    <n v="46.8"/>
    <n v="27.299999999999997"/>
    <m/>
    <m/>
    <m/>
    <m/>
    <m/>
    <m/>
    <m/>
    <m/>
    <m/>
    <m/>
    <m/>
    <m/>
    <m/>
    <m/>
    <m/>
    <m/>
    <s v="high"/>
    <s v="high"/>
    <b v="1"/>
    <b v="1"/>
  </r>
  <r>
    <s v="USR00246"/>
    <x v="37"/>
    <x v="2"/>
    <x v="0"/>
    <s v="Standard"/>
    <n v="22.68"/>
    <n v="7.07"/>
    <n v="29.75"/>
    <n v="18.41"/>
    <m/>
    <m/>
    <m/>
    <m/>
    <m/>
    <m/>
    <m/>
    <m/>
    <m/>
    <m/>
    <m/>
    <m/>
    <m/>
    <m/>
    <m/>
    <m/>
    <s v="low"/>
    <s v="medium"/>
    <b v="1"/>
    <b v="1"/>
  </r>
  <r>
    <s v="USR00006"/>
    <x v="38"/>
    <x v="0"/>
    <x v="2"/>
    <s v="Standard"/>
    <n v="20.91"/>
    <n v="6.63"/>
    <n v="27.54"/>
    <n v="17.085000000000001"/>
    <m/>
    <m/>
    <m/>
    <m/>
    <m/>
    <m/>
    <m/>
    <m/>
    <m/>
    <m/>
    <m/>
    <m/>
    <m/>
    <m/>
    <m/>
    <m/>
    <s v="low"/>
    <s v="medium"/>
    <b v="1"/>
    <b v="1"/>
  </r>
  <r>
    <s v="USR00208"/>
    <x v="22"/>
    <x v="0"/>
    <x v="1"/>
    <s v="Premium"/>
    <n v="32.380000000000003"/>
    <n v="8.66"/>
    <n v="41.040000000000006"/>
    <n v="24.85"/>
    <m/>
    <m/>
    <m/>
    <m/>
    <m/>
    <m/>
    <m/>
    <m/>
    <m/>
    <m/>
    <m/>
    <m/>
    <m/>
    <m/>
    <m/>
    <m/>
    <s v="high"/>
    <s v="high"/>
    <b v="1"/>
    <b v="1"/>
  </r>
  <r>
    <s v="USR00157"/>
    <x v="39"/>
    <x v="3"/>
    <x v="1"/>
    <s v="Premium"/>
    <n v="4.96"/>
    <n v="9.59"/>
    <n v="14.55"/>
    <n v="12.07"/>
    <m/>
    <m/>
    <m/>
    <m/>
    <m/>
    <m/>
    <m/>
    <m/>
    <m/>
    <m/>
    <m/>
    <m/>
    <m/>
    <m/>
    <m/>
    <m/>
    <s v="low"/>
    <s v="low"/>
    <b v="1"/>
    <b v="1"/>
  </r>
  <r>
    <s v="USR00171"/>
    <x v="40"/>
    <x v="1"/>
    <x v="1"/>
    <s v="Standard"/>
    <n v="4.28"/>
    <n v="1.94"/>
    <n v="6.2200000000000006"/>
    <n v="4.08"/>
    <m/>
    <m/>
    <m/>
    <m/>
    <m/>
    <m/>
    <m/>
    <m/>
    <m/>
    <m/>
    <m/>
    <m/>
    <m/>
    <m/>
    <m/>
    <m/>
    <s v="low"/>
    <s v="low"/>
    <b v="0"/>
    <b v="1"/>
  </r>
  <r>
    <s v="USR00217"/>
    <x v="3"/>
    <x v="0"/>
    <x v="1"/>
    <s v="Basic"/>
    <n v="9"/>
    <n v="4.53"/>
    <n v="13.530000000000001"/>
    <n v="9.0300000000000011"/>
    <m/>
    <m/>
    <m/>
    <m/>
    <m/>
    <m/>
    <m/>
    <m/>
    <m/>
    <m/>
    <m/>
    <m/>
    <m/>
    <m/>
    <m/>
    <m/>
    <s v="low"/>
    <s v="low"/>
    <b v="0"/>
    <b v="1"/>
  </r>
  <r>
    <s v="USR00065"/>
    <x v="41"/>
    <x v="0"/>
    <x v="1"/>
    <s v="Premium"/>
    <n v="30.37"/>
    <n v="11.58"/>
    <n v="41.95"/>
    <n v="26.765000000000001"/>
    <m/>
    <m/>
    <m/>
    <m/>
    <m/>
    <m/>
    <m/>
    <m/>
    <m/>
    <m/>
    <m/>
    <m/>
    <m/>
    <m/>
    <m/>
    <m/>
    <s v="high"/>
    <s v="high"/>
    <b v="1"/>
    <b v="1"/>
  </r>
  <r>
    <s v="USR00053"/>
    <x v="42"/>
    <x v="0"/>
    <x v="2"/>
    <s v="Basic"/>
    <n v="33.47"/>
    <n v="2.89"/>
    <n v="36.36"/>
    <n v="19.625"/>
    <m/>
    <m/>
    <m/>
    <m/>
    <m/>
    <m/>
    <m/>
    <m/>
    <m/>
    <m/>
    <m/>
    <m/>
    <m/>
    <m/>
    <m/>
    <m/>
    <s v="high"/>
    <s v="high"/>
    <b v="1"/>
    <b v="1"/>
  </r>
  <r>
    <s v="USR00076"/>
    <x v="43"/>
    <x v="4"/>
    <x v="1"/>
    <s v="Standard"/>
    <n v="19.7"/>
    <n v="3.51"/>
    <n v="23.21"/>
    <n v="13.36"/>
    <m/>
    <m/>
    <m/>
    <m/>
    <m/>
    <m/>
    <m/>
    <m/>
    <m/>
    <m/>
    <m/>
    <m/>
    <m/>
    <m/>
    <m/>
    <m/>
    <s v="low"/>
    <s v="medium"/>
    <b v="1"/>
    <b v="1"/>
  </r>
  <r>
    <s v="USR00120"/>
    <x v="44"/>
    <x v="2"/>
    <x v="2"/>
    <s v="Premium"/>
    <n v="32.46"/>
    <n v="4.54"/>
    <n v="37"/>
    <n v="20.77"/>
    <m/>
    <m/>
    <m/>
    <m/>
    <m/>
    <m/>
    <m/>
    <m/>
    <m/>
    <m/>
    <m/>
    <m/>
    <m/>
    <m/>
    <m/>
    <m/>
    <s v="high"/>
    <s v="high"/>
    <b v="1"/>
    <b v="1"/>
  </r>
  <r>
    <s v="USR00130"/>
    <x v="45"/>
    <x v="0"/>
    <x v="2"/>
    <s v="Basic"/>
    <n v="6.46"/>
    <n v="12.44"/>
    <n v="18.899999999999999"/>
    <n v="15.669999999999998"/>
    <m/>
    <m/>
    <m/>
    <m/>
    <m/>
    <m/>
    <m/>
    <m/>
    <m/>
    <m/>
    <m/>
    <m/>
    <m/>
    <m/>
    <m/>
    <m/>
    <s v="low"/>
    <s v="low"/>
    <b v="1"/>
    <b v="1"/>
  </r>
  <r>
    <s v="USR00151"/>
    <x v="46"/>
    <x v="1"/>
    <x v="1"/>
    <s v="Premium"/>
    <n v="9.48"/>
    <n v="2.69"/>
    <n v="12.17"/>
    <n v="7.43"/>
    <m/>
    <m/>
    <m/>
    <m/>
    <m/>
    <m/>
    <m/>
    <m/>
    <m/>
    <m/>
    <m/>
    <m/>
    <m/>
    <m/>
    <m/>
    <m/>
    <s v="low"/>
    <s v="low"/>
    <b v="0"/>
    <b v="1"/>
  </r>
  <r>
    <s v="USR00058"/>
    <x v="47"/>
    <x v="4"/>
    <x v="1"/>
    <s v="Premium"/>
    <n v="12.02"/>
    <n v="6.68"/>
    <n v="18.7"/>
    <n v="12.69"/>
    <m/>
    <m/>
    <m/>
    <m/>
    <m/>
    <m/>
    <m/>
    <m/>
    <m/>
    <m/>
    <m/>
    <m/>
    <m/>
    <m/>
    <m/>
    <m/>
    <s v="low"/>
    <s v="low"/>
    <b v="1"/>
    <b v="1"/>
  </r>
  <r>
    <s v="USR00039"/>
    <x v="48"/>
    <x v="5"/>
    <x v="1"/>
    <s v="Basic"/>
    <n v="44.51"/>
    <n v="7.31"/>
    <n v="51.82"/>
    <n v="29.565000000000001"/>
    <m/>
    <m/>
    <m/>
    <m/>
    <m/>
    <m/>
    <m/>
    <m/>
    <m/>
    <m/>
    <m/>
    <m/>
    <m/>
    <m/>
    <m/>
    <m/>
    <s v="high"/>
    <s v="high"/>
    <b v="1"/>
    <b v="1"/>
  </r>
  <r>
    <s v="USR00062"/>
    <x v="49"/>
    <x v="4"/>
    <x v="1"/>
    <s v="Basic"/>
    <n v="27.87"/>
    <n v="5.08"/>
    <n v="32.950000000000003"/>
    <n v="19.015000000000001"/>
    <m/>
    <m/>
    <m/>
    <m/>
    <m/>
    <m/>
    <m/>
    <m/>
    <m/>
    <m/>
    <m/>
    <m/>
    <m/>
    <m/>
    <m/>
    <m/>
    <s v="high"/>
    <s v="high"/>
    <b v="1"/>
    <b v="1"/>
  </r>
  <r>
    <s v="USR00266"/>
    <x v="50"/>
    <x v="1"/>
    <x v="1"/>
    <s v="Premium"/>
    <n v="43.16"/>
    <n v="3.69"/>
    <n v="46.849999999999994"/>
    <n v="25.269999999999996"/>
    <m/>
    <m/>
    <m/>
    <m/>
    <m/>
    <m/>
    <m/>
    <m/>
    <m/>
    <m/>
    <m/>
    <m/>
    <m/>
    <m/>
    <m/>
    <m/>
    <s v="high"/>
    <s v="high"/>
    <b v="1"/>
    <b v="1"/>
  </r>
  <r>
    <s v="USR00139"/>
    <x v="51"/>
    <x v="4"/>
    <x v="2"/>
    <s v="Basic"/>
    <n v="27.05"/>
    <n v="8.31"/>
    <n v="35.36"/>
    <n v="21.835000000000001"/>
    <m/>
    <m/>
    <m/>
    <m/>
    <m/>
    <m/>
    <m/>
    <m/>
    <m/>
    <m/>
    <m/>
    <m/>
    <m/>
    <m/>
    <m/>
    <m/>
    <s v="high"/>
    <s v="high"/>
    <b v="1"/>
    <b v="1"/>
  </r>
  <r>
    <s v="USR00274"/>
    <x v="52"/>
    <x v="0"/>
    <x v="1"/>
    <s v="Business"/>
    <n v="14.07"/>
    <n v="1.29"/>
    <n v="15.36"/>
    <n v="8.3249999999999993"/>
    <m/>
    <m/>
    <m/>
    <m/>
    <m/>
    <m/>
    <m/>
    <m/>
    <m/>
    <m/>
    <m/>
    <m/>
    <m/>
    <m/>
    <m/>
    <m/>
    <s v="low"/>
    <s v="low"/>
    <b v="0"/>
    <b v="1"/>
  </r>
  <r>
    <s v="USR00153"/>
    <x v="53"/>
    <x v="5"/>
    <x v="1"/>
    <s v="Premium"/>
    <n v="63.94"/>
    <n v="13.51"/>
    <n v="77.45"/>
    <n v="45.480000000000004"/>
    <m/>
    <m/>
    <m/>
    <m/>
    <m/>
    <m/>
    <m/>
    <m/>
    <m/>
    <m/>
    <m/>
    <m/>
    <m/>
    <m/>
    <m/>
    <m/>
    <s v="high"/>
    <s v="high"/>
    <b v="0"/>
    <b v="1"/>
  </r>
  <r>
    <s v="USR00095"/>
    <x v="54"/>
    <x v="2"/>
    <x v="0"/>
    <s v="Premium"/>
    <n v="58.01"/>
    <n v="11.76"/>
    <n v="69.77"/>
    <n v="40.765000000000001"/>
    <m/>
    <m/>
    <m/>
    <m/>
    <m/>
    <m/>
    <m/>
    <m/>
    <m/>
    <m/>
    <m/>
    <m/>
    <m/>
    <m/>
    <m/>
    <m/>
    <s v="high"/>
    <s v="high"/>
    <b v="0"/>
    <b v="1"/>
  </r>
  <r>
    <s v="USR00025"/>
    <x v="55"/>
    <x v="0"/>
    <x v="2"/>
    <s v="Standard"/>
    <n v="30.59"/>
    <n v="8.82"/>
    <n v="39.409999999999997"/>
    <n v="24.114999999999998"/>
    <m/>
    <m/>
    <m/>
    <m/>
    <m/>
    <m/>
    <m/>
    <m/>
    <m/>
    <m/>
    <m/>
    <m/>
    <m/>
    <m/>
    <m/>
    <m/>
    <s v="high"/>
    <s v="high"/>
    <b v="1"/>
    <b v="1"/>
  </r>
  <r>
    <s v="USR00010"/>
    <x v="56"/>
    <x v="0"/>
    <x v="1"/>
    <s v="Basic"/>
    <n v="20.48"/>
    <n v="6.69"/>
    <n v="27.17"/>
    <n v="16.93"/>
    <m/>
    <m/>
    <m/>
    <m/>
    <m/>
    <m/>
    <m/>
    <m/>
    <m/>
    <m/>
    <m/>
    <m/>
    <m/>
    <m/>
    <m/>
    <m/>
    <s v="low"/>
    <s v="medium"/>
    <b v="1"/>
    <b v="1"/>
  </r>
  <r>
    <s v="USR00031"/>
    <x v="57"/>
    <x v="2"/>
    <x v="2"/>
    <s v="Premium"/>
    <n v="70.87"/>
    <n v="1.65"/>
    <n v="72.52000000000001"/>
    <n v="37.085000000000008"/>
    <m/>
    <m/>
    <m/>
    <m/>
    <m/>
    <m/>
    <m/>
    <m/>
    <m/>
    <m/>
    <m/>
    <m/>
    <m/>
    <m/>
    <m/>
    <m/>
    <s v="high"/>
    <s v="high"/>
    <b v="0"/>
    <b v="1"/>
  </r>
  <r>
    <s v="USR00278"/>
    <x v="58"/>
    <x v="0"/>
    <x v="1"/>
    <s v="Standard"/>
    <n v="38.24"/>
    <n v="11.65"/>
    <n v="49.89"/>
    <n v="30.77"/>
    <m/>
    <m/>
    <m/>
    <m/>
    <m/>
    <m/>
    <m/>
    <m/>
    <m/>
    <m/>
    <m/>
    <m/>
    <m/>
    <m/>
    <m/>
    <m/>
    <s v="high"/>
    <s v="high"/>
    <b v="0"/>
    <b v="1"/>
  </r>
  <r>
    <s v="USR00077"/>
    <x v="59"/>
    <x v="4"/>
    <x v="0"/>
    <s v="Standard"/>
    <n v="24.4"/>
    <n v="5.88"/>
    <n v="30.279999999999998"/>
    <n v="18.079999999999998"/>
    <m/>
    <m/>
    <m/>
    <m/>
    <m/>
    <m/>
    <m/>
    <m/>
    <m/>
    <m/>
    <m/>
    <m/>
    <m/>
    <m/>
    <m/>
    <m/>
    <s v="high"/>
    <s v="high"/>
    <b v="1"/>
    <b v="1"/>
  </r>
  <r>
    <s v="USR00289"/>
    <x v="60"/>
    <x v="0"/>
    <x v="0"/>
    <s v="Standard"/>
    <n v="43.63"/>
    <n v="5.14"/>
    <n v="48.77"/>
    <n v="26.955000000000002"/>
    <m/>
    <m/>
    <m/>
    <m/>
    <m/>
    <m/>
    <m/>
    <m/>
    <m/>
    <m/>
    <m/>
    <m/>
    <m/>
    <m/>
    <m/>
    <m/>
    <s v="high"/>
    <s v="high"/>
    <b v="1"/>
    <b v="1"/>
  </r>
  <r>
    <s v="USR00261"/>
    <x v="61"/>
    <x v="3"/>
    <x v="1"/>
    <s v="Standard"/>
    <n v="25.07"/>
    <n v="2.0699999999999998"/>
    <n v="27.14"/>
    <n v="14.605"/>
    <m/>
    <m/>
    <m/>
    <m/>
    <m/>
    <m/>
    <m/>
    <m/>
    <m/>
    <m/>
    <m/>
    <m/>
    <m/>
    <m/>
    <m/>
    <m/>
    <s v="low"/>
    <s v="medium"/>
    <b v="1"/>
    <b v="1"/>
  </r>
  <r>
    <s v="USR00271"/>
    <x v="62"/>
    <x v="0"/>
    <x v="0"/>
    <s v="Basic"/>
    <n v="3.76"/>
    <n v="4.41"/>
    <n v="8.17"/>
    <n v="6.29"/>
    <m/>
    <m/>
    <m/>
    <m/>
    <m/>
    <m/>
    <m/>
    <m/>
    <m/>
    <m/>
    <m/>
    <m/>
    <m/>
    <m/>
    <m/>
    <m/>
    <s v="low"/>
    <s v="low"/>
    <b v="0"/>
    <b v="1"/>
  </r>
  <r>
    <s v="USR00129"/>
    <x v="63"/>
    <x v="4"/>
    <x v="0"/>
    <s v="Premium"/>
    <n v="57.8"/>
    <n v="2.56"/>
    <n v="60.36"/>
    <n v="31.46"/>
    <m/>
    <m/>
    <m/>
    <m/>
    <m/>
    <m/>
    <m/>
    <m/>
    <m/>
    <m/>
    <m/>
    <m/>
    <m/>
    <m/>
    <m/>
    <m/>
    <s v="high"/>
    <s v="high"/>
    <b v="0"/>
    <b v="1"/>
  </r>
  <r>
    <s v="USR00285"/>
    <x v="64"/>
    <x v="1"/>
    <x v="2"/>
    <s v="Basic"/>
    <n v="13.94"/>
    <n v="2.04"/>
    <n v="15.98"/>
    <n v="9.01"/>
    <m/>
    <m/>
    <m/>
    <m/>
    <m/>
    <m/>
    <m/>
    <m/>
    <m/>
    <m/>
    <m/>
    <m/>
    <m/>
    <m/>
    <m/>
    <m/>
    <s v="low"/>
    <s v="low"/>
    <b v="0"/>
    <b v="1"/>
  </r>
  <r>
    <s v="USR00227"/>
    <x v="65"/>
    <x v="1"/>
    <x v="1"/>
    <s v="Standard"/>
    <n v="40.99"/>
    <n v="4.4400000000000004"/>
    <n v="45.43"/>
    <n v="24.934999999999999"/>
    <m/>
    <m/>
    <m/>
    <m/>
    <m/>
    <m/>
    <m/>
    <m/>
    <m/>
    <m/>
    <m/>
    <m/>
    <m/>
    <m/>
    <m/>
    <m/>
    <s v="high"/>
    <s v="high"/>
    <b v="1"/>
    <b v="1"/>
  </r>
  <r>
    <s v="USR00184"/>
    <x v="66"/>
    <x v="3"/>
    <x v="1"/>
    <s v="Basic"/>
    <n v="18.309999999999999"/>
    <n v="3.74"/>
    <n v="22.049999999999997"/>
    <n v="12.895"/>
    <m/>
    <m/>
    <m/>
    <m/>
    <m/>
    <m/>
    <m/>
    <m/>
    <m/>
    <m/>
    <m/>
    <m/>
    <m/>
    <m/>
    <m/>
    <m/>
    <s v="low"/>
    <s v="medium"/>
    <b v="1"/>
    <b v="1"/>
  </r>
  <r>
    <s v="USR00252"/>
    <x v="67"/>
    <x v="3"/>
    <x v="1"/>
    <s v="Standard"/>
    <n v="7.39"/>
    <n v="1.55"/>
    <n v="8.94"/>
    <n v="5.2450000000000001"/>
    <m/>
    <m/>
    <m/>
    <m/>
    <m/>
    <m/>
    <m/>
    <m/>
    <m/>
    <m/>
    <m/>
    <m/>
    <m/>
    <m/>
    <m/>
    <m/>
    <s v="low"/>
    <s v="low"/>
    <b v="0"/>
    <b v="1"/>
  </r>
  <r>
    <s v="USR00098"/>
    <x v="68"/>
    <x v="5"/>
    <x v="0"/>
    <s v="Premium"/>
    <n v="21.09"/>
    <n v="0.69"/>
    <n v="21.78"/>
    <n v="11.235000000000001"/>
    <m/>
    <m/>
    <m/>
    <m/>
    <m/>
    <m/>
    <m/>
    <m/>
    <m/>
    <m/>
    <m/>
    <m/>
    <m/>
    <m/>
    <m/>
    <m/>
    <s v="low"/>
    <s v="medium"/>
    <b v="1"/>
    <b v="1"/>
  </r>
  <r>
    <s v="USR00141"/>
    <x v="69"/>
    <x v="0"/>
    <x v="0"/>
    <s v="Premium"/>
    <n v="7.36"/>
    <n v="5.44"/>
    <n v="12.8"/>
    <n v="9.120000000000001"/>
    <m/>
    <m/>
    <m/>
    <m/>
    <m/>
    <m/>
    <m/>
    <m/>
    <m/>
    <m/>
    <m/>
    <m/>
    <m/>
    <m/>
    <m/>
    <m/>
    <s v="low"/>
    <s v="low"/>
    <b v="0"/>
    <b v="1"/>
  </r>
  <r>
    <s v="USR00108"/>
    <x v="70"/>
    <x v="4"/>
    <x v="1"/>
    <s v="Premium"/>
    <n v="19.41"/>
    <n v="12.78"/>
    <n v="32.19"/>
    <n v="22.484999999999999"/>
    <m/>
    <m/>
    <m/>
    <m/>
    <m/>
    <m/>
    <m/>
    <m/>
    <m/>
    <m/>
    <m/>
    <m/>
    <m/>
    <m/>
    <m/>
    <m/>
    <s v="high"/>
    <s v="high"/>
    <b v="1"/>
    <b v="1"/>
  </r>
  <r>
    <s v="USR00018"/>
    <x v="71"/>
    <x v="3"/>
    <x v="0"/>
    <s v="Basic"/>
    <n v="48.61"/>
    <n v="10.39"/>
    <n v="59"/>
    <n v="34.695"/>
    <m/>
    <m/>
    <m/>
    <m/>
    <m/>
    <m/>
    <m/>
    <m/>
    <m/>
    <m/>
    <m/>
    <m/>
    <m/>
    <m/>
    <m/>
    <m/>
    <s v="high"/>
    <s v="high"/>
    <b v="0"/>
    <b v="1"/>
  </r>
  <r>
    <s v="USR00005"/>
    <x v="72"/>
    <x v="3"/>
    <x v="1"/>
    <s v="Basic"/>
    <n v="37.71"/>
    <n v="2.93"/>
    <n v="40.64"/>
    <n v="21.785"/>
    <m/>
    <m/>
    <m/>
    <m/>
    <m/>
    <m/>
    <m/>
    <m/>
    <m/>
    <m/>
    <m/>
    <m/>
    <m/>
    <m/>
    <m/>
    <m/>
    <s v="high"/>
    <s v="high"/>
    <b v="1"/>
    <b v="1"/>
  </r>
  <r>
    <s v="USR00221"/>
    <x v="73"/>
    <x v="1"/>
    <x v="1"/>
    <s v="Premium"/>
    <n v="19.84"/>
    <n v="4.2300000000000004"/>
    <n v="24.07"/>
    <n v="14.15"/>
    <m/>
    <m/>
    <m/>
    <m/>
    <m/>
    <m/>
    <m/>
    <m/>
    <m/>
    <m/>
    <m/>
    <m/>
    <m/>
    <m/>
    <m/>
    <m/>
    <s v="low"/>
    <s v="medium"/>
    <b v="1"/>
    <b v="1"/>
  </r>
  <r>
    <s v="USR00067"/>
    <x v="74"/>
    <x v="5"/>
    <x v="1"/>
    <s v="Premium"/>
    <n v="27.45"/>
    <n v="5.09"/>
    <n v="32.54"/>
    <n v="18.814999999999998"/>
    <m/>
    <m/>
    <m/>
    <m/>
    <m/>
    <m/>
    <m/>
    <m/>
    <m/>
    <m/>
    <m/>
    <m/>
    <m/>
    <m/>
    <m/>
    <m/>
    <s v="high"/>
    <s v="high"/>
    <b v="1"/>
    <b v="1"/>
  </r>
  <r>
    <s v="USR00166"/>
    <x v="75"/>
    <x v="0"/>
    <x v="1"/>
    <s v="Basic"/>
    <n v="63.54"/>
    <n v="6.66"/>
    <n v="70.2"/>
    <n v="38.43"/>
    <m/>
    <m/>
    <m/>
    <m/>
    <m/>
    <m/>
    <m/>
    <m/>
    <m/>
    <m/>
    <m/>
    <m/>
    <m/>
    <m/>
    <m/>
    <m/>
    <s v="high"/>
    <s v="high"/>
    <b v="0"/>
    <b v="1"/>
  </r>
  <r>
    <s v="USR00011"/>
    <x v="76"/>
    <x v="1"/>
    <x v="2"/>
    <s v="Standard"/>
    <n v="18.63"/>
    <n v="1.61"/>
    <n v="20.239999999999998"/>
    <n v="10.924999999999999"/>
    <m/>
    <m/>
    <m/>
    <m/>
    <m/>
    <m/>
    <m/>
    <m/>
    <m/>
    <m/>
    <m/>
    <m/>
    <m/>
    <m/>
    <m/>
    <m/>
    <s v="low"/>
    <s v="medium"/>
    <b v="1"/>
    <b v="1"/>
  </r>
  <r>
    <s v="USR00170"/>
    <x v="40"/>
    <x v="0"/>
    <x v="0"/>
    <s v="Premium"/>
    <n v="68.34"/>
    <n v="1.79"/>
    <n v="70.13000000000001"/>
    <n v="35.960000000000008"/>
    <m/>
    <m/>
    <m/>
    <m/>
    <m/>
    <m/>
    <m/>
    <m/>
    <m/>
    <m/>
    <m/>
    <m/>
    <m/>
    <m/>
    <m/>
    <m/>
    <s v="high"/>
    <s v="high"/>
    <b v="0"/>
    <b v="1"/>
  </r>
  <r>
    <s v="USR00121"/>
    <x v="77"/>
    <x v="3"/>
    <x v="1"/>
    <s v="Basic"/>
    <n v="36.9"/>
    <n v="0.77"/>
    <n v="37.67"/>
    <n v="19.220000000000002"/>
    <m/>
    <m/>
    <m/>
    <m/>
    <m/>
    <m/>
    <m/>
    <m/>
    <m/>
    <m/>
    <m/>
    <m/>
    <m/>
    <m/>
    <m/>
    <m/>
    <s v="high"/>
    <s v="high"/>
    <b v="1"/>
    <b v="1"/>
  </r>
  <r>
    <s v="USR00030"/>
    <x v="78"/>
    <x v="0"/>
    <x v="1"/>
    <s v="Premium"/>
    <n v="37.29"/>
    <n v="12.42"/>
    <n v="49.71"/>
    <n v="31.065000000000001"/>
    <m/>
    <m/>
    <m/>
    <m/>
    <m/>
    <m/>
    <m/>
    <m/>
    <m/>
    <m/>
    <m/>
    <m/>
    <m/>
    <m/>
    <m/>
    <m/>
    <s v="high"/>
    <s v="high"/>
    <b v="0"/>
    <b v="1"/>
  </r>
  <r>
    <s v="USR00156"/>
    <x v="79"/>
    <x v="2"/>
    <x v="0"/>
    <s v="Standard"/>
    <n v="15.32"/>
    <n v="4.79"/>
    <n v="20.11"/>
    <n v="12.45"/>
    <m/>
    <m/>
    <m/>
    <m/>
    <m/>
    <m/>
    <m/>
    <m/>
    <m/>
    <m/>
    <m/>
    <m/>
    <m/>
    <m/>
    <m/>
    <m/>
    <s v="low"/>
    <s v="medium"/>
    <b v="1"/>
    <b v="1"/>
  </r>
  <r>
    <s v="USR00224"/>
    <x v="9"/>
    <x v="3"/>
    <x v="1"/>
    <s v="Premium"/>
    <n v="13.03"/>
    <n v="5.97"/>
    <n v="19"/>
    <n v="12.484999999999999"/>
    <m/>
    <m/>
    <m/>
    <m/>
    <m/>
    <m/>
    <m/>
    <m/>
    <m/>
    <m/>
    <m/>
    <m/>
    <m/>
    <m/>
    <m/>
    <m/>
    <s v="low"/>
    <s v="low"/>
    <b v="1"/>
    <b v="1"/>
  </r>
  <r>
    <s v="USR00078"/>
    <x v="80"/>
    <x v="4"/>
    <x v="1"/>
    <s v="Standard"/>
    <n v="22.15"/>
    <n v="4.2699999999999996"/>
    <n v="26.419999999999998"/>
    <n v="15.344999999999999"/>
    <m/>
    <m/>
    <m/>
    <m/>
    <m/>
    <m/>
    <m/>
    <m/>
    <m/>
    <m/>
    <m/>
    <m/>
    <m/>
    <m/>
    <m/>
    <m/>
    <s v="low"/>
    <s v="medium"/>
    <b v="1"/>
    <b v="1"/>
  </r>
  <r>
    <s v="USR00195"/>
    <x v="81"/>
    <x v="0"/>
    <x v="0"/>
    <s v="Basic"/>
    <n v="25.97"/>
    <n v="33"/>
    <n v="58.97"/>
    <n v="45.984999999999999"/>
    <m/>
    <m/>
    <m/>
    <m/>
    <m/>
    <m/>
    <m/>
    <m/>
    <m/>
    <m/>
    <m/>
    <m/>
    <m/>
    <m/>
    <m/>
    <m/>
    <s v="high"/>
    <s v="high"/>
    <b v="0"/>
    <b v="1"/>
  </r>
  <r>
    <s v="USR00091"/>
    <x v="82"/>
    <x v="0"/>
    <x v="1"/>
    <s v="Basic"/>
    <n v="22.12"/>
    <n v="6.65"/>
    <n v="28.770000000000003"/>
    <n v="17.71"/>
    <m/>
    <m/>
    <m/>
    <m/>
    <m/>
    <m/>
    <m/>
    <m/>
    <m/>
    <m/>
    <m/>
    <m/>
    <m/>
    <m/>
    <m/>
    <m/>
    <s v="low"/>
    <s v="medium"/>
    <b v="1"/>
    <b v="1"/>
  </r>
  <r>
    <s v="USR00198"/>
    <x v="83"/>
    <x v="4"/>
    <x v="2"/>
    <s v="Standard"/>
    <n v="23.74"/>
    <n v="1.77"/>
    <n v="25.509999999999998"/>
    <n v="13.639999999999999"/>
    <m/>
    <m/>
    <m/>
    <m/>
    <m/>
    <m/>
    <m/>
    <m/>
    <m/>
    <m/>
    <m/>
    <m/>
    <m/>
    <m/>
    <m/>
    <m/>
    <s v="low"/>
    <s v="medium"/>
    <b v="1"/>
    <b v="1"/>
  </r>
  <r>
    <s v="USR00021"/>
    <x v="84"/>
    <x v="0"/>
    <x v="1"/>
    <s v="Business"/>
    <n v="66.98"/>
    <n v="5.21"/>
    <n v="72.19"/>
    <n v="38.699999999999996"/>
    <m/>
    <m/>
    <m/>
    <m/>
    <m/>
    <m/>
    <m/>
    <m/>
    <m/>
    <m/>
    <m/>
    <m/>
    <m/>
    <m/>
    <m/>
    <m/>
    <s v="high"/>
    <s v="high"/>
    <b v="0"/>
    <b v="1"/>
  </r>
  <r>
    <s v="USR00124"/>
    <x v="85"/>
    <x v="1"/>
    <x v="1"/>
    <s v="Premium"/>
    <n v="27.37"/>
    <n v="3.15"/>
    <n v="30.52"/>
    <n v="16.835000000000001"/>
    <m/>
    <m/>
    <m/>
    <m/>
    <m/>
    <m/>
    <m/>
    <m/>
    <m/>
    <m/>
    <m/>
    <m/>
    <m/>
    <m/>
    <m/>
    <m/>
    <s v="high"/>
    <s v="high"/>
    <b v="1"/>
    <b v="1"/>
  </r>
  <r>
    <s v="USR00201"/>
    <x v="17"/>
    <x v="3"/>
    <x v="1"/>
    <s v="Basic"/>
    <n v="14.34"/>
    <n v="11.76"/>
    <n v="26.1"/>
    <n v="18.93"/>
    <m/>
    <m/>
    <m/>
    <m/>
    <m/>
    <m/>
    <m/>
    <m/>
    <m/>
    <m/>
    <m/>
    <m/>
    <m/>
    <m/>
    <m/>
    <m/>
    <s v="low"/>
    <s v="medium"/>
    <b v="1"/>
    <b v="1"/>
  </r>
  <r>
    <s v="USR00044"/>
    <x v="86"/>
    <x v="4"/>
    <x v="0"/>
    <s v="Basic"/>
    <n v="41.73"/>
    <n v="1.23"/>
    <n v="42.959999999999994"/>
    <n v="22.094999999999995"/>
    <m/>
    <m/>
    <m/>
    <m/>
    <m/>
    <m/>
    <m/>
    <m/>
    <m/>
    <m/>
    <m/>
    <m/>
    <m/>
    <m/>
    <m/>
    <m/>
    <s v="high"/>
    <s v="high"/>
    <b v="1"/>
    <b v="1"/>
  </r>
  <r>
    <s v="USR00282"/>
    <x v="87"/>
    <x v="3"/>
    <x v="2"/>
    <s v="Premium"/>
    <n v="11.1"/>
    <n v="4.2300000000000004"/>
    <n v="15.33"/>
    <n v="9.7800000000000011"/>
    <m/>
    <m/>
    <m/>
    <m/>
    <m/>
    <m/>
    <m/>
    <m/>
    <m/>
    <m/>
    <m/>
    <m/>
    <m/>
    <m/>
    <m/>
    <m/>
    <s v="low"/>
    <s v="low"/>
    <b v="0"/>
    <b v="1"/>
  </r>
  <r>
    <s v="USR00049"/>
    <x v="88"/>
    <x v="0"/>
    <x v="1"/>
    <s v="Premium"/>
    <n v="41.8"/>
    <n v="4.54"/>
    <n v="46.339999999999996"/>
    <n v="25.439999999999998"/>
    <m/>
    <m/>
    <m/>
    <m/>
    <m/>
    <m/>
    <m/>
    <m/>
    <m/>
    <m/>
    <m/>
    <m/>
    <m/>
    <m/>
    <m/>
    <m/>
    <s v="high"/>
    <s v="high"/>
    <b v="1"/>
    <b v="1"/>
  </r>
  <r>
    <s v="USR00280"/>
    <x v="89"/>
    <x v="1"/>
    <x v="0"/>
    <s v="Premium"/>
    <n v="35.31"/>
    <n v="10.27"/>
    <n v="45.58"/>
    <n v="27.924999999999997"/>
    <m/>
    <m/>
    <m/>
    <m/>
    <m/>
    <m/>
    <m/>
    <m/>
    <m/>
    <m/>
    <m/>
    <m/>
    <m/>
    <m/>
    <m/>
    <m/>
    <s v="high"/>
    <s v="high"/>
    <b v="1"/>
    <b v="1"/>
  </r>
  <r>
    <s v="USR00004"/>
    <x v="90"/>
    <x v="5"/>
    <x v="1"/>
    <s v="Standard"/>
    <n v="52.67"/>
    <n v="8.3699999999999992"/>
    <n v="61.04"/>
    <n v="34.704999999999998"/>
    <m/>
    <m/>
    <m/>
    <m/>
    <m/>
    <m/>
    <m/>
    <m/>
    <m/>
    <m/>
    <m/>
    <m/>
    <m/>
    <m/>
    <m/>
    <m/>
    <s v="high"/>
    <s v="high"/>
    <b v="0"/>
    <b v="1"/>
  </r>
  <r>
    <s v="USR00086"/>
    <x v="91"/>
    <x v="0"/>
    <x v="1"/>
    <s v="Premium"/>
    <n v="23.54"/>
    <n v="12.47"/>
    <n v="36.01"/>
    <n v="24.24"/>
    <m/>
    <m/>
    <m/>
    <m/>
    <m/>
    <m/>
    <m/>
    <m/>
    <m/>
    <m/>
    <m/>
    <m/>
    <m/>
    <m/>
    <m/>
    <m/>
    <s v="high"/>
    <s v="high"/>
    <b v="1"/>
    <b v="1"/>
  </r>
  <r>
    <s v="USR00059"/>
    <x v="92"/>
    <x v="4"/>
    <x v="1"/>
    <s v="Standard"/>
    <n v="42.55"/>
    <n v="3.38"/>
    <n v="45.93"/>
    <n v="24.655000000000001"/>
    <m/>
    <m/>
    <m/>
    <m/>
    <m/>
    <m/>
    <m/>
    <m/>
    <m/>
    <m/>
    <m/>
    <m/>
    <m/>
    <m/>
    <m/>
    <m/>
    <s v="high"/>
    <s v="high"/>
    <b v="1"/>
    <b v="1"/>
  </r>
  <r>
    <s v="USR00177"/>
    <x v="93"/>
    <x v="3"/>
    <x v="0"/>
    <s v="Premium"/>
    <n v="43.89"/>
    <n v="9.6999999999999993"/>
    <n v="53.59"/>
    <n v="31.645000000000003"/>
    <m/>
    <m/>
    <m/>
    <m/>
    <m/>
    <m/>
    <m/>
    <m/>
    <m/>
    <m/>
    <m/>
    <m/>
    <m/>
    <m/>
    <m/>
    <m/>
    <s v="high"/>
    <s v="high"/>
    <b v="0"/>
    <b v="1"/>
  </r>
  <r>
    <s v="USR00272"/>
    <x v="18"/>
    <x v="0"/>
    <x v="0"/>
    <s v="Premium"/>
    <n v="18.89"/>
    <n v="1.1599999999999999"/>
    <n v="20.05"/>
    <n v="10.605"/>
    <m/>
    <m/>
    <m/>
    <m/>
    <m/>
    <m/>
    <m/>
    <m/>
    <m/>
    <m/>
    <m/>
    <m/>
    <m/>
    <m/>
    <m/>
    <m/>
    <s v="low"/>
    <s v="medium"/>
    <b v="1"/>
    <b v="1"/>
  </r>
  <r>
    <s v="USR00035"/>
    <x v="94"/>
    <x v="0"/>
    <x v="1"/>
    <s v="Basic"/>
    <n v="38.46"/>
    <n v="5.0599999999999996"/>
    <n v="43.52"/>
    <n v="24.290000000000003"/>
    <m/>
    <m/>
    <m/>
    <m/>
    <m/>
    <m/>
    <m/>
    <m/>
    <m/>
    <m/>
    <m/>
    <m/>
    <m/>
    <m/>
    <m/>
    <m/>
    <s v="high"/>
    <s v="high"/>
    <b v="1"/>
    <b v="1"/>
  </r>
  <r>
    <s v="USR00126"/>
    <x v="95"/>
    <x v="5"/>
    <x v="1"/>
    <s v="Standard"/>
    <n v="28.25"/>
    <n v="2.2799999999999998"/>
    <n v="30.53"/>
    <n v="16.405000000000001"/>
    <m/>
    <m/>
    <m/>
    <m/>
    <m/>
    <m/>
    <m/>
    <m/>
    <m/>
    <m/>
    <m/>
    <m/>
    <m/>
    <m/>
    <m/>
    <m/>
    <s v="high"/>
    <s v="high"/>
    <b v="1"/>
    <b v="1"/>
  </r>
  <r>
    <s v="USR00235"/>
    <x v="96"/>
    <x v="0"/>
    <x v="1"/>
    <s v="Premium"/>
    <n v="20.18"/>
    <n v="1.71"/>
    <n v="21.89"/>
    <n v="11.8"/>
    <m/>
    <m/>
    <m/>
    <m/>
    <m/>
    <m/>
    <m/>
    <m/>
    <m/>
    <m/>
    <m/>
    <m/>
    <m/>
    <m/>
    <m/>
    <m/>
    <s v="low"/>
    <s v="medium"/>
    <b v="1"/>
    <b v="1"/>
  </r>
  <r>
    <s v="USR00081"/>
    <x v="97"/>
    <x v="5"/>
    <x v="0"/>
    <s v="Standard"/>
    <n v="3.64"/>
    <n v="3.67"/>
    <n v="7.3100000000000005"/>
    <n v="5.49"/>
    <m/>
    <m/>
    <m/>
    <m/>
    <m/>
    <m/>
    <m/>
    <m/>
    <m/>
    <m/>
    <m/>
    <m/>
    <m/>
    <m/>
    <m/>
    <m/>
    <s v="low"/>
    <s v="low"/>
    <b v="0"/>
    <b v="1"/>
  </r>
  <r>
    <s v="USR00094"/>
    <x v="98"/>
    <x v="0"/>
    <x v="0"/>
    <s v="Standard"/>
    <n v="17.649999999999999"/>
    <n v="6.75"/>
    <n v="24.4"/>
    <n v="15.574999999999999"/>
    <m/>
    <m/>
    <m/>
    <m/>
    <m/>
    <m/>
    <m/>
    <m/>
    <m/>
    <m/>
    <m/>
    <m/>
    <m/>
    <m/>
    <m/>
    <m/>
    <s v="low"/>
    <s v="medium"/>
    <b v="1"/>
    <b v="1"/>
  </r>
  <r>
    <s v="USR00273"/>
    <x v="99"/>
    <x v="0"/>
    <x v="0"/>
    <s v="Premium"/>
    <n v="20.81"/>
    <n v="5.35"/>
    <n v="26.159999999999997"/>
    <n v="15.754999999999999"/>
    <m/>
    <m/>
    <m/>
    <m/>
    <m/>
    <m/>
    <m/>
    <m/>
    <m/>
    <m/>
    <m/>
    <m/>
    <m/>
    <m/>
    <m/>
    <m/>
    <s v="low"/>
    <s v="medium"/>
    <b v="1"/>
    <b v="1"/>
  </r>
  <r>
    <s v="USR00236"/>
    <x v="100"/>
    <x v="0"/>
    <x v="1"/>
    <s v="Basic"/>
    <n v="34.729999999999997"/>
    <n v="0.82"/>
    <n v="35.549999999999997"/>
    <n v="18.184999999999999"/>
    <m/>
    <m/>
    <m/>
    <m/>
    <m/>
    <m/>
    <m/>
    <m/>
    <m/>
    <m/>
    <m/>
    <m/>
    <m/>
    <m/>
    <m/>
    <m/>
    <s v="high"/>
    <s v="high"/>
    <b v="1"/>
    <b v="1"/>
  </r>
  <r>
    <s v="USR00136"/>
    <x v="101"/>
    <x v="0"/>
    <x v="0"/>
    <s v="Basic"/>
    <n v="61.42"/>
    <n v="10.75"/>
    <n v="72.17"/>
    <n v="41.46"/>
    <m/>
    <m/>
    <m/>
    <m/>
    <m/>
    <m/>
    <m/>
    <m/>
    <m/>
    <m/>
    <m/>
    <m/>
    <m/>
    <m/>
    <m/>
    <m/>
    <s v="high"/>
    <s v="high"/>
    <b v="0"/>
    <b v="1"/>
  </r>
  <r>
    <s v="USR00179"/>
    <x v="102"/>
    <x v="4"/>
    <x v="2"/>
    <s v="Premium"/>
    <n v="36.65"/>
    <n v="2.73"/>
    <n v="39.379999999999995"/>
    <n v="21.054999999999996"/>
    <m/>
    <m/>
    <m/>
    <m/>
    <m/>
    <m/>
    <m/>
    <m/>
    <m/>
    <m/>
    <m/>
    <m/>
    <m/>
    <m/>
    <m/>
    <m/>
    <s v="high"/>
    <s v="high"/>
    <b v="1"/>
    <b v="1"/>
  </r>
  <r>
    <s v="USR00204"/>
    <x v="19"/>
    <x v="4"/>
    <x v="1"/>
    <s v="Standard"/>
    <n v="23.3"/>
    <n v="10.75"/>
    <n v="34.049999999999997"/>
    <n v="22.4"/>
    <m/>
    <m/>
    <m/>
    <m/>
    <m/>
    <m/>
    <m/>
    <m/>
    <m/>
    <m/>
    <m/>
    <m/>
    <m/>
    <m/>
    <m/>
    <m/>
    <s v="high"/>
    <s v="high"/>
    <b v="1"/>
    <b v="1"/>
  </r>
  <r>
    <s v="USR00026"/>
    <x v="32"/>
    <x v="0"/>
    <x v="2"/>
    <s v="Premium"/>
    <n v="31.53"/>
    <n v="3.27"/>
    <n v="34.800000000000004"/>
    <n v="19.035000000000004"/>
    <m/>
    <m/>
    <m/>
    <m/>
    <m/>
    <m/>
    <m/>
    <m/>
    <m/>
    <m/>
    <m/>
    <m/>
    <m/>
    <m/>
    <m/>
    <m/>
    <s v="high"/>
    <s v="high"/>
    <b v="1"/>
    <b v="1"/>
  </r>
  <r>
    <s v="USR00096"/>
    <x v="10"/>
    <x v="1"/>
    <x v="1"/>
    <s v="Standard"/>
    <n v="3.08"/>
    <n v="8.82"/>
    <n v="11.9"/>
    <n v="10.36"/>
    <m/>
    <m/>
    <m/>
    <m/>
    <m/>
    <m/>
    <m/>
    <m/>
    <m/>
    <m/>
    <m/>
    <m/>
    <m/>
    <m/>
    <m/>
    <m/>
    <s v="low"/>
    <s v="low"/>
    <b v="1"/>
    <b v="1"/>
  </r>
  <r>
    <s v="USR00262"/>
    <x v="103"/>
    <x v="2"/>
    <x v="0"/>
    <s v="Standard"/>
    <n v="54.24"/>
    <n v="10.31"/>
    <n v="64.55"/>
    <n v="37.43"/>
    <m/>
    <m/>
    <m/>
    <m/>
    <m/>
    <m/>
    <m/>
    <m/>
    <m/>
    <m/>
    <m/>
    <m/>
    <m/>
    <m/>
    <m/>
    <m/>
    <s v="high"/>
    <s v="high"/>
    <b v="0"/>
    <b v="1"/>
  </r>
  <r>
    <s v="USR00082"/>
    <x v="104"/>
    <x v="4"/>
    <x v="0"/>
    <s v="Basic"/>
    <n v="12.07"/>
    <n v="4.09"/>
    <n v="16.16"/>
    <n v="10.125"/>
    <m/>
    <m/>
    <m/>
    <m/>
    <m/>
    <m/>
    <m/>
    <m/>
    <m/>
    <m/>
    <m/>
    <m/>
    <m/>
    <m/>
    <m/>
    <m/>
    <s v="low"/>
    <s v="low"/>
    <b v="1"/>
    <b v="1"/>
  </r>
  <r>
    <s v="USR00042"/>
    <x v="105"/>
    <x v="2"/>
    <x v="2"/>
    <s v="Premium"/>
    <n v="19.53"/>
    <n v="7.82"/>
    <n v="27.35"/>
    <n v="17.585000000000001"/>
    <m/>
    <m/>
    <m/>
    <m/>
    <m/>
    <m/>
    <m/>
    <m/>
    <m/>
    <m/>
    <m/>
    <m/>
    <m/>
    <m/>
    <m/>
    <m/>
    <s v="low"/>
    <s v="medium"/>
    <b v="1"/>
    <b v="1"/>
  </r>
  <r>
    <s v="USR00207"/>
    <x v="106"/>
    <x v="1"/>
    <x v="1"/>
    <s v="Standard"/>
    <n v="17.84"/>
    <n v="6.43"/>
    <n v="24.27"/>
    <n v="15.35"/>
    <m/>
    <m/>
    <m/>
    <m/>
    <m/>
    <m/>
    <m/>
    <m/>
    <m/>
    <m/>
    <m/>
    <m/>
    <m/>
    <m/>
    <m/>
    <m/>
    <s v="low"/>
    <s v="medium"/>
    <b v="1"/>
    <b v="1"/>
  </r>
  <r>
    <s v="USR00040"/>
    <x v="107"/>
    <x v="3"/>
    <x v="1"/>
    <s v="Premium"/>
    <n v="21.25"/>
    <n v="3.11"/>
    <n v="24.36"/>
    <n v="13.734999999999999"/>
    <m/>
    <m/>
    <m/>
    <m/>
    <m/>
    <m/>
    <m/>
    <m/>
    <m/>
    <m/>
    <m/>
    <m/>
    <m/>
    <m/>
    <m/>
    <m/>
    <s v="low"/>
    <s v="medium"/>
    <b v="1"/>
    <b v="1"/>
  </r>
  <r>
    <s v="USR00215"/>
    <x v="108"/>
    <x v="5"/>
    <x v="1"/>
    <s v="Premium"/>
    <n v="63.79"/>
    <n v="12.53"/>
    <n v="76.319999999999993"/>
    <n v="44.424999999999997"/>
    <m/>
    <m/>
    <m/>
    <m/>
    <m/>
    <m/>
    <m/>
    <m/>
    <m/>
    <m/>
    <m/>
    <m/>
    <m/>
    <m/>
    <m/>
    <m/>
    <s v="high"/>
    <s v="high"/>
    <b v="0"/>
    <b v="1"/>
  </r>
  <r>
    <s v="USR00070"/>
    <x v="109"/>
    <x v="4"/>
    <x v="1"/>
    <s v="Standard"/>
    <n v="4.71"/>
    <n v="0.71"/>
    <n v="5.42"/>
    <n v="3.0649999999999999"/>
    <m/>
    <m/>
    <m/>
    <m/>
    <m/>
    <m/>
    <m/>
    <m/>
    <m/>
    <m/>
    <m/>
    <m/>
    <m/>
    <m/>
    <m/>
    <m/>
    <s v="low"/>
    <s v="low"/>
    <b v="0"/>
    <b v="1"/>
  </r>
  <r>
    <s v="USR00080"/>
    <x v="87"/>
    <x v="5"/>
    <x v="0"/>
    <s v="Business"/>
    <n v="28.79"/>
    <n v="6.02"/>
    <n v="34.81"/>
    <n v="20.414999999999999"/>
    <m/>
    <m/>
    <m/>
    <m/>
    <m/>
    <m/>
    <m/>
    <m/>
    <m/>
    <m/>
    <m/>
    <m/>
    <m/>
    <m/>
    <m/>
    <m/>
    <s v="high"/>
    <s v="high"/>
    <b v="1"/>
    <b v="1"/>
  </r>
  <r>
    <s v="USR00138"/>
    <x v="110"/>
    <x v="3"/>
    <x v="0"/>
    <s v="Basic"/>
    <n v="21.02"/>
    <n v="2.13"/>
    <n v="23.15"/>
    <n v="12.639999999999999"/>
    <m/>
    <m/>
    <m/>
    <m/>
    <m/>
    <m/>
    <m/>
    <m/>
    <m/>
    <m/>
    <m/>
    <m/>
    <m/>
    <m/>
    <m/>
    <m/>
    <s v="low"/>
    <s v="medium"/>
    <b v="1"/>
    <b v="1"/>
  </r>
  <r>
    <s v="USR00069"/>
    <x v="111"/>
    <x v="2"/>
    <x v="2"/>
    <s v="Basic"/>
    <n v="15.94"/>
    <n v="3.99"/>
    <n v="19.93"/>
    <n v="11.96"/>
    <m/>
    <m/>
    <m/>
    <m/>
    <m/>
    <m/>
    <m/>
    <m/>
    <m/>
    <m/>
    <m/>
    <m/>
    <m/>
    <m/>
    <m/>
    <m/>
    <s v="low"/>
    <s v="low"/>
    <b v="1"/>
    <b v="1"/>
  </r>
  <r>
    <s v="USR00275"/>
    <x v="112"/>
    <x v="0"/>
    <x v="1"/>
    <s v="Basic"/>
    <n v="2.64"/>
    <n v="12.64"/>
    <n v="15.280000000000001"/>
    <n v="13.96"/>
    <m/>
    <m/>
    <m/>
    <m/>
    <m/>
    <m/>
    <m/>
    <m/>
    <m/>
    <m/>
    <m/>
    <m/>
    <m/>
    <m/>
    <m/>
    <m/>
    <s v="low"/>
    <s v="low"/>
    <b v="1"/>
    <b v="1"/>
  </r>
  <r>
    <s v="USR00176"/>
    <x v="113"/>
    <x v="2"/>
    <x v="0"/>
    <s v="Basic"/>
    <n v="46.38"/>
    <n v="2.74"/>
    <n v="49.120000000000005"/>
    <n v="25.930000000000003"/>
    <m/>
    <m/>
    <m/>
    <m/>
    <m/>
    <m/>
    <m/>
    <m/>
    <m/>
    <m/>
    <m/>
    <m/>
    <m/>
    <m/>
    <m/>
    <m/>
    <s v="high"/>
    <s v="high"/>
    <b v="1"/>
    <b v="1"/>
  </r>
  <r>
    <s v="USR00143"/>
    <x v="114"/>
    <x v="5"/>
    <x v="2"/>
    <s v="Standard"/>
    <n v="25.27"/>
    <n v="3.66"/>
    <n v="28.93"/>
    <n v="16.295000000000002"/>
    <m/>
    <m/>
    <m/>
    <m/>
    <m/>
    <m/>
    <m/>
    <m/>
    <m/>
    <m/>
    <m/>
    <m/>
    <m/>
    <m/>
    <m/>
    <m/>
    <s v="low"/>
    <s v="medium"/>
    <b v="1"/>
    <b v="1"/>
  </r>
  <r>
    <s v="USR00281"/>
    <x v="115"/>
    <x v="1"/>
    <x v="1"/>
    <s v="Basic"/>
    <n v="4.2699999999999996"/>
    <n v="4.7"/>
    <n v="8.9699999999999989"/>
    <n v="6.8349999999999991"/>
    <m/>
    <m/>
    <m/>
    <m/>
    <m/>
    <m/>
    <m/>
    <m/>
    <m/>
    <m/>
    <m/>
    <m/>
    <m/>
    <m/>
    <m/>
    <m/>
    <s v="low"/>
    <s v="low"/>
    <b v="0"/>
    <b v="1"/>
  </r>
  <r>
    <s v="USR00087"/>
    <x v="116"/>
    <x v="1"/>
    <x v="1"/>
    <s v="Basic"/>
    <n v="26.83"/>
    <n v="1.23"/>
    <n v="28.06"/>
    <n v="14.645"/>
    <m/>
    <m/>
    <m/>
    <m/>
    <m/>
    <m/>
    <m/>
    <m/>
    <m/>
    <m/>
    <m/>
    <m/>
    <m/>
    <m/>
    <m/>
    <m/>
    <s v="low"/>
    <s v="medium"/>
    <b v="1"/>
    <b v="1"/>
  </r>
  <r>
    <s v="USR00244"/>
    <x v="95"/>
    <x v="4"/>
    <x v="1"/>
    <s v="Premium"/>
    <n v="28.6"/>
    <n v="2.8"/>
    <n v="31.400000000000002"/>
    <n v="17.100000000000001"/>
    <m/>
    <m/>
    <m/>
    <m/>
    <m/>
    <m/>
    <m/>
    <m/>
    <m/>
    <m/>
    <m/>
    <m/>
    <m/>
    <m/>
    <m/>
    <m/>
    <s v="high"/>
    <s v="high"/>
    <b v="1"/>
    <b v="1"/>
  </r>
  <r>
    <s v="USR00036"/>
    <x v="117"/>
    <x v="2"/>
    <x v="1"/>
    <s v="Basic"/>
    <n v="41.23"/>
    <n v="6.8"/>
    <n v="48.029999999999994"/>
    <n v="27.414999999999996"/>
    <m/>
    <m/>
    <m/>
    <m/>
    <m/>
    <m/>
    <m/>
    <m/>
    <m/>
    <m/>
    <m/>
    <m/>
    <m/>
    <m/>
    <m/>
    <m/>
    <s v="high"/>
    <s v="high"/>
    <b v="1"/>
    <b v="1"/>
  </r>
  <r>
    <s v="USR00125"/>
    <x v="118"/>
    <x v="1"/>
    <x v="0"/>
    <s v="Premium"/>
    <n v="20.93"/>
    <n v="5.32"/>
    <n v="26.25"/>
    <n v="15.785"/>
    <m/>
    <m/>
    <m/>
    <m/>
    <m/>
    <m/>
    <m/>
    <m/>
    <m/>
    <m/>
    <m/>
    <m/>
    <m/>
    <m/>
    <m/>
    <m/>
    <s v="low"/>
    <s v="medium"/>
    <b v="1"/>
    <b v="1"/>
  </r>
  <r>
    <s v="USR00231"/>
    <x v="119"/>
    <x v="1"/>
    <x v="0"/>
    <s v="Basic"/>
    <n v="2.86"/>
    <n v="1.7"/>
    <n v="4.5599999999999996"/>
    <n v="3.13"/>
    <m/>
    <m/>
    <m/>
    <m/>
    <m/>
    <m/>
    <m/>
    <m/>
    <m/>
    <m/>
    <m/>
    <m/>
    <m/>
    <m/>
    <m/>
    <m/>
    <s v="low"/>
    <s v="low"/>
    <b v="0"/>
    <b v="1"/>
  </r>
  <r>
    <s v="USR00090"/>
    <x v="120"/>
    <x v="4"/>
    <x v="1"/>
    <s v="Premium"/>
    <n v="3"/>
    <n v="7.97"/>
    <n v="10.969999999999999"/>
    <n v="9.4699999999999989"/>
    <m/>
    <m/>
    <m/>
    <m/>
    <m/>
    <m/>
    <m/>
    <m/>
    <m/>
    <m/>
    <m/>
    <m/>
    <m/>
    <m/>
    <m/>
    <m/>
    <s v="low"/>
    <s v="low"/>
    <b v="0"/>
    <b v="1"/>
  </r>
  <r>
    <s v="USR00178"/>
    <x v="14"/>
    <x v="0"/>
    <x v="0"/>
    <s v="Premium"/>
    <n v="29.32"/>
    <n v="1.62"/>
    <n v="30.94"/>
    <n v="16.28"/>
    <m/>
    <m/>
    <m/>
    <m/>
    <m/>
    <m/>
    <m/>
    <m/>
    <m/>
    <m/>
    <m/>
    <m/>
    <m/>
    <m/>
    <m/>
    <m/>
    <s v="high"/>
    <s v="high"/>
    <b v="1"/>
    <b v="1"/>
  </r>
  <r>
    <s v="USR00183"/>
    <x v="121"/>
    <x v="2"/>
    <x v="1"/>
    <s v="Standard"/>
    <n v="39.130000000000003"/>
    <n v="1.54"/>
    <n v="40.67"/>
    <n v="21.105"/>
    <m/>
    <m/>
    <m/>
    <m/>
    <m/>
    <m/>
    <m/>
    <m/>
    <m/>
    <m/>
    <m/>
    <m/>
    <m/>
    <m/>
    <m/>
    <m/>
    <s v="high"/>
    <s v="high"/>
    <b v="1"/>
    <b v="1"/>
  </r>
  <r>
    <s v="USR00041"/>
    <x v="122"/>
    <x v="4"/>
    <x v="0"/>
    <s v="Basic"/>
    <n v="31.36"/>
    <n v="3.94"/>
    <n v="35.299999999999997"/>
    <n v="19.619999999999997"/>
    <m/>
    <m/>
    <m/>
    <m/>
    <m/>
    <m/>
    <m/>
    <m/>
    <m/>
    <m/>
    <m/>
    <m/>
    <m/>
    <m/>
    <m/>
    <m/>
    <s v="high"/>
    <s v="high"/>
    <b v="1"/>
    <b v="1"/>
  </r>
  <r>
    <s v="USR00258"/>
    <x v="123"/>
    <x v="3"/>
    <x v="2"/>
    <s v="Standard"/>
    <n v="39.79"/>
    <n v="8.2899999999999991"/>
    <n v="48.08"/>
    <n v="28.184999999999999"/>
    <m/>
    <m/>
    <m/>
    <m/>
    <m/>
    <m/>
    <m/>
    <m/>
    <m/>
    <m/>
    <m/>
    <m/>
    <m/>
    <m/>
    <m/>
    <m/>
    <s v="high"/>
    <s v="high"/>
    <b v="1"/>
    <b v="1"/>
  </r>
  <r>
    <s v="USR00291"/>
    <x v="124"/>
    <x v="5"/>
    <x v="0"/>
    <s v="Premium"/>
    <n v="-5"/>
    <n v="10.36"/>
    <n v="5.3599999999999994"/>
    <n v="7.8599999999999994"/>
    <m/>
    <m/>
    <m/>
    <m/>
    <m/>
    <m/>
    <m/>
    <m/>
    <m/>
    <m/>
    <m/>
    <m/>
    <m/>
    <m/>
    <m/>
    <m/>
    <s v="low"/>
    <s v="low"/>
    <b v="0"/>
    <b v="1"/>
  </r>
  <r>
    <s v="USR00152"/>
    <x v="125"/>
    <x v="0"/>
    <x v="0"/>
    <s v="Premium"/>
    <n v="6.74"/>
    <n v="5.84"/>
    <n v="12.58"/>
    <n v="9.2100000000000009"/>
    <m/>
    <m/>
    <m/>
    <m/>
    <m/>
    <m/>
    <m/>
    <m/>
    <m/>
    <m/>
    <m/>
    <m/>
    <m/>
    <m/>
    <m/>
    <m/>
    <s v="low"/>
    <s v="low"/>
    <b v="0"/>
    <b v="1"/>
  </r>
  <r>
    <s v="USR00241"/>
    <x v="126"/>
    <x v="0"/>
    <x v="2"/>
    <s v="Standard"/>
    <n v="42.17"/>
    <n v="2.58"/>
    <n v="44.75"/>
    <n v="23.664999999999999"/>
    <m/>
    <m/>
    <m/>
    <m/>
    <m/>
    <m/>
    <m/>
    <m/>
    <m/>
    <m/>
    <m/>
    <m/>
    <m/>
    <m/>
    <m/>
    <m/>
    <s v="high"/>
    <s v="high"/>
    <b v="1"/>
    <b v="1"/>
  </r>
  <r>
    <s v="USR00245"/>
    <x v="127"/>
    <x v="0"/>
    <x v="0"/>
    <s v="Standard"/>
    <n v="17.95"/>
    <n v="3.95"/>
    <n v="21.9"/>
    <n v="12.924999999999999"/>
    <m/>
    <m/>
    <m/>
    <m/>
    <m/>
    <m/>
    <m/>
    <m/>
    <m/>
    <m/>
    <m/>
    <m/>
    <m/>
    <m/>
    <m/>
    <m/>
    <s v="low"/>
    <s v="medium"/>
    <b v="1"/>
    <b v="1"/>
  </r>
  <r>
    <s v="USR00254"/>
    <x v="128"/>
    <x v="4"/>
    <x v="1"/>
    <s v="Business"/>
    <n v="24.03"/>
    <n v="1.99"/>
    <n v="26.02"/>
    <n v="14.004999999999999"/>
    <m/>
    <m/>
    <m/>
    <m/>
    <m/>
    <m/>
    <m/>
    <m/>
    <m/>
    <m/>
    <m/>
    <m/>
    <m/>
    <m/>
    <m/>
    <m/>
    <s v="low"/>
    <s v="medium"/>
    <b v="1"/>
    <b v="1"/>
  </r>
  <r>
    <s v="USR00101"/>
    <x v="26"/>
    <x v="2"/>
    <x v="1"/>
    <s v="Basic"/>
    <n v="43.79"/>
    <n v="12.62"/>
    <n v="56.41"/>
    <n v="34.515000000000001"/>
    <m/>
    <m/>
    <m/>
    <m/>
    <m/>
    <m/>
    <m/>
    <m/>
    <m/>
    <m/>
    <m/>
    <m/>
    <m/>
    <m/>
    <m/>
    <m/>
    <s v="high"/>
    <s v="high"/>
    <b v="0"/>
    <b v="1"/>
  </r>
  <r>
    <s v="USR00105"/>
    <x v="129"/>
    <x v="0"/>
    <x v="1"/>
    <s v="Premium"/>
    <n v="29.38"/>
    <n v="5.9"/>
    <n v="35.28"/>
    <n v="20.59"/>
    <m/>
    <m/>
    <m/>
    <m/>
    <m/>
    <m/>
    <m/>
    <m/>
    <m/>
    <m/>
    <m/>
    <m/>
    <m/>
    <m/>
    <m/>
    <m/>
    <s v="high"/>
    <s v="high"/>
    <b v="1"/>
    <b v="1"/>
  </r>
  <r>
    <s v="USR00260"/>
    <x v="130"/>
    <x v="4"/>
    <x v="0"/>
    <s v="Standard"/>
    <n v="5.86"/>
    <n v="2.0299999999999998"/>
    <n v="7.8900000000000006"/>
    <n v="4.96"/>
    <m/>
    <m/>
    <m/>
    <m/>
    <m/>
    <m/>
    <m/>
    <m/>
    <m/>
    <m/>
    <m/>
    <m/>
    <m/>
    <m/>
    <m/>
    <m/>
    <s v="low"/>
    <s v="low"/>
    <b v="0"/>
    <b v="1"/>
  </r>
  <r>
    <s v="USR00093"/>
    <x v="131"/>
    <x v="5"/>
    <x v="1"/>
    <s v="Basic"/>
    <n v="6.71"/>
    <n v="8.35"/>
    <n v="15.059999999999999"/>
    <n v="11.704999999999998"/>
    <m/>
    <m/>
    <m/>
    <m/>
    <m/>
    <m/>
    <m/>
    <m/>
    <m/>
    <m/>
    <m/>
    <m/>
    <m/>
    <m/>
    <m/>
    <m/>
    <s v="low"/>
    <s v="low"/>
    <b v="1"/>
    <b v="1"/>
  </r>
  <r>
    <s v="USR00205"/>
    <x v="132"/>
    <x v="4"/>
    <x v="1"/>
    <s v="Basic"/>
    <n v="10.16"/>
    <n v="2.31"/>
    <n v="12.47"/>
    <n v="7.3900000000000006"/>
    <m/>
    <m/>
    <m/>
    <m/>
    <m/>
    <m/>
    <m/>
    <m/>
    <m/>
    <m/>
    <m/>
    <m/>
    <m/>
    <m/>
    <m/>
    <m/>
    <s v="low"/>
    <s v="low"/>
    <b v="0"/>
    <b v="1"/>
  </r>
  <r>
    <s v="USR00057"/>
    <x v="133"/>
    <x v="5"/>
    <x v="1"/>
    <s v="Basic"/>
    <n v="11.1"/>
    <n v="8.24"/>
    <n v="19.34"/>
    <n v="13.79"/>
    <m/>
    <m/>
    <m/>
    <m/>
    <m/>
    <m/>
    <m/>
    <m/>
    <m/>
    <m/>
    <m/>
    <m/>
    <m/>
    <m/>
    <m/>
    <m/>
    <s v="low"/>
    <s v="low"/>
    <b v="1"/>
    <b v="1"/>
  </r>
  <r>
    <s v="USR00020"/>
    <x v="129"/>
    <x v="0"/>
    <x v="2"/>
    <s v="Basic"/>
    <n v="15.77"/>
    <n v="4.72"/>
    <n v="20.49"/>
    <n v="12.604999999999999"/>
    <m/>
    <m/>
    <m/>
    <m/>
    <m/>
    <m/>
    <m/>
    <m/>
    <m/>
    <m/>
    <m/>
    <m/>
    <m/>
    <m/>
    <m/>
    <m/>
    <s v="low"/>
    <s v="medium"/>
    <b v="1"/>
    <b v="1"/>
  </r>
  <r>
    <s v="USR00268"/>
    <x v="134"/>
    <x v="4"/>
    <x v="1"/>
    <s v="Basic"/>
    <n v="14.72"/>
    <n v="2.93"/>
    <n v="17.650000000000002"/>
    <n v="10.290000000000001"/>
    <m/>
    <m/>
    <m/>
    <m/>
    <m/>
    <m/>
    <m/>
    <m/>
    <m/>
    <m/>
    <m/>
    <m/>
    <m/>
    <m/>
    <m/>
    <m/>
    <s v="low"/>
    <s v="low"/>
    <b v="1"/>
    <b v="1"/>
  </r>
  <r>
    <s v="USR00222"/>
    <x v="86"/>
    <x v="2"/>
    <x v="0"/>
    <s v="Standard"/>
    <n v="44.59"/>
    <n v="1.86"/>
    <n v="46.45"/>
    <n v="24.155000000000001"/>
    <m/>
    <m/>
    <m/>
    <m/>
    <m/>
    <m/>
    <m/>
    <m/>
    <m/>
    <m/>
    <m/>
    <m/>
    <m/>
    <m/>
    <m/>
    <m/>
    <s v="high"/>
    <s v="high"/>
    <b v="1"/>
    <b v="1"/>
  </r>
  <r>
    <s v="USR00111"/>
    <x v="18"/>
    <x v="5"/>
    <x v="1"/>
    <s v="Standard"/>
    <n v="12.92"/>
    <n v="3.37"/>
    <n v="16.29"/>
    <n v="9.83"/>
    <m/>
    <m/>
    <m/>
    <m/>
    <m/>
    <m/>
    <m/>
    <m/>
    <m/>
    <m/>
    <m/>
    <m/>
    <m/>
    <m/>
    <m/>
    <m/>
    <s v="low"/>
    <s v="low"/>
    <b v="0"/>
    <b v="1"/>
  </r>
  <r>
    <s v="USR00253"/>
    <x v="135"/>
    <x v="0"/>
    <x v="0"/>
    <s v="Standard"/>
    <n v="85"/>
    <n v="1.66"/>
    <n v="86.66"/>
    <n v="44.16"/>
    <m/>
    <m/>
    <m/>
    <m/>
    <m/>
    <m/>
    <m/>
    <m/>
    <m/>
    <m/>
    <m/>
    <m/>
    <m/>
    <m/>
    <m/>
    <m/>
    <s v="high"/>
    <s v="high"/>
    <b v="0"/>
    <b v="1"/>
  </r>
  <r>
    <s v="USR00159"/>
    <x v="136"/>
    <x v="5"/>
    <x v="2"/>
    <s v="Business"/>
    <n v="11.24"/>
    <n v="4"/>
    <n v="15.24"/>
    <n v="9.620000000000001"/>
    <m/>
    <m/>
    <m/>
    <m/>
    <m/>
    <m/>
    <m/>
    <m/>
    <m/>
    <m/>
    <m/>
    <m/>
    <m/>
    <m/>
    <m/>
    <m/>
    <s v="low"/>
    <s v="low"/>
    <b v="0"/>
    <b v="1"/>
  </r>
  <r>
    <s v="USR00175"/>
    <x v="62"/>
    <x v="0"/>
    <x v="1"/>
    <s v="Business"/>
    <n v="15.8"/>
    <n v="4.26"/>
    <n v="20.060000000000002"/>
    <n v="12.16"/>
    <m/>
    <m/>
    <m/>
    <m/>
    <m/>
    <m/>
    <m/>
    <m/>
    <m/>
    <m/>
    <m/>
    <m/>
    <m/>
    <m/>
    <m/>
    <m/>
    <s v="low"/>
    <s v="medium"/>
    <b v="1"/>
    <b v="1"/>
  </r>
  <r>
    <s v="USR00146"/>
    <x v="137"/>
    <x v="0"/>
    <x v="1"/>
    <s v="Basic"/>
    <n v="4.34"/>
    <n v="2.08"/>
    <n v="6.42"/>
    <n v="4.25"/>
    <m/>
    <m/>
    <m/>
    <m/>
    <m/>
    <m/>
    <m/>
    <m/>
    <m/>
    <m/>
    <m/>
    <m/>
    <m/>
    <m/>
    <m/>
    <m/>
    <s v="low"/>
    <s v="low"/>
    <b v="0"/>
    <b v="1"/>
  </r>
  <r>
    <s v="USR00024"/>
    <x v="138"/>
    <x v="4"/>
    <x v="1"/>
    <s v="Basic"/>
    <n v="28.24"/>
    <n v="2.37"/>
    <n v="30.61"/>
    <n v="16.489999999999998"/>
    <m/>
    <m/>
    <m/>
    <m/>
    <m/>
    <m/>
    <m/>
    <m/>
    <m/>
    <m/>
    <m/>
    <m/>
    <m/>
    <m/>
    <m/>
    <m/>
    <s v="high"/>
    <s v="high"/>
    <b v="1"/>
    <b v="1"/>
  </r>
  <r>
    <s v="USR00128"/>
    <x v="139"/>
    <x v="0"/>
    <x v="0"/>
    <s v="Basic"/>
    <n v="6.68"/>
    <n v="2.35"/>
    <n v="9.0299999999999994"/>
    <n v="5.6899999999999995"/>
    <m/>
    <m/>
    <m/>
    <m/>
    <m/>
    <m/>
    <m/>
    <m/>
    <m/>
    <m/>
    <m/>
    <m/>
    <m/>
    <m/>
    <m/>
    <m/>
    <s v="low"/>
    <s v="low"/>
    <b v="0"/>
    <b v="1"/>
  </r>
  <r>
    <s v="USR00234"/>
    <x v="11"/>
    <x v="3"/>
    <x v="0"/>
    <s v="Premium"/>
    <n v="35.83"/>
    <n v="1.31"/>
    <n v="37.14"/>
    <n v="19.225000000000001"/>
    <m/>
    <m/>
    <m/>
    <m/>
    <m/>
    <m/>
    <m/>
    <m/>
    <m/>
    <m/>
    <m/>
    <m/>
    <m/>
    <m/>
    <m/>
    <m/>
    <s v="high"/>
    <s v="high"/>
    <b v="1"/>
    <b v="1"/>
  </r>
  <r>
    <s v="USR00220"/>
    <x v="140"/>
    <x v="2"/>
    <x v="1"/>
    <s v="Premium"/>
    <n v="39.229999999999997"/>
    <n v="1.57"/>
    <n v="40.799999999999997"/>
    <n v="21.184999999999999"/>
    <m/>
    <m/>
    <m/>
    <m/>
    <m/>
    <m/>
    <m/>
    <m/>
    <m/>
    <m/>
    <m/>
    <m/>
    <m/>
    <m/>
    <m/>
    <m/>
    <s v="high"/>
    <s v="high"/>
    <b v="1"/>
    <b v="1"/>
  </r>
  <r>
    <s v="USR00238"/>
    <x v="141"/>
    <x v="5"/>
    <x v="1"/>
    <s v="Standard"/>
    <n v="4.8"/>
    <n v="3.38"/>
    <n v="8.18"/>
    <n v="5.7799999999999994"/>
    <m/>
    <m/>
    <m/>
    <m/>
    <m/>
    <m/>
    <m/>
    <m/>
    <m/>
    <m/>
    <m/>
    <m/>
    <m/>
    <m/>
    <m/>
    <m/>
    <s v="low"/>
    <s v="low"/>
    <b v="0"/>
    <b v="1"/>
  </r>
  <r>
    <s v="USR00009"/>
    <x v="142"/>
    <x v="3"/>
    <x v="0"/>
    <s v="Standard"/>
    <n v="39.43"/>
    <n v="3.21"/>
    <n v="42.64"/>
    <n v="22.925000000000001"/>
    <m/>
    <m/>
    <m/>
    <m/>
    <m/>
    <m/>
    <m/>
    <m/>
    <m/>
    <m/>
    <m/>
    <m/>
    <m/>
    <m/>
    <m/>
    <m/>
    <s v="high"/>
    <s v="high"/>
    <b v="1"/>
    <b v="1"/>
  </r>
  <r>
    <s v="USR00064"/>
    <x v="88"/>
    <x v="3"/>
    <x v="2"/>
    <s v="Standard"/>
    <n v="29.62"/>
    <n v="9.0500000000000007"/>
    <n v="38.67"/>
    <n v="23.86"/>
    <m/>
    <m/>
    <m/>
    <m/>
    <m/>
    <m/>
    <m/>
    <m/>
    <m/>
    <m/>
    <m/>
    <m/>
    <m/>
    <m/>
    <m/>
    <m/>
    <s v="high"/>
    <s v="high"/>
    <b v="1"/>
    <b v="1"/>
  </r>
  <r>
    <s v="USR00063"/>
    <x v="143"/>
    <x v="0"/>
    <x v="1"/>
    <s v="Standard"/>
    <n v="23.95"/>
    <n v="1.05"/>
    <n v="25"/>
    <n v="13.025"/>
    <m/>
    <m/>
    <m/>
    <m/>
    <m/>
    <m/>
    <m/>
    <m/>
    <m/>
    <m/>
    <m/>
    <m/>
    <m/>
    <m/>
    <m/>
    <m/>
    <s v="low"/>
    <s v="medium"/>
    <b v="1"/>
    <b v="1"/>
  </r>
  <r>
    <s v="USR00223"/>
    <x v="144"/>
    <x v="2"/>
    <x v="1"/>
    <s v="Standard"/>
    <n v="42.4"/>
    <n v="7.54"/>
    <n v="49.94"/>
    <n v="28.74"/>
    <m/>
    <m/>
    <m/>
    <m/>
    <m/>
    <m/>
    <m/>
    <m/>
    <m/>
    <m/>
    <m/>
    <m/>
    <m/>
    <m/>
    <m/>
    <m/>
    <s v="high"/>
    <s v="high"/>
    <b v="1"/>
    <b v="1"/>
  </r>
  <r>
    <s v="USR00115"/>
    <x v="145"/>
    <x v="1"/>
    <x v="0"/>
    <s v="Standard"/>
    <n v="41.75"/>
    <n v="4.7699999999999996"/>
    <n v="46.519999999999996"/>
    <n v="25.644999999999996"/>
    <m/>
    <m/>
    <m/>
    <m/>
    <m/>
    <m/>
    <m/>
    <m/>
    <m/>
    <m/>
    <m/>
    <m/>
    <m/>
    <m/>
    <m/>
    <m/>
    <s v="high"/>
    <s v="high"/>
    <b v="1"/>
    <b v="1"/>
  </r>
  <r>
    <s v="USR00084"/>
    <x v="146"/>
    <x v="0"/>
    <x v="0"/>
    <s v="Standard"/>
    <n v="28.53"/>
    <n v="7.58"/>
    <n v="36.11"/>
    <n v="21.844999999999999"/>
    <m/>
    <m/>
    <m/>
    <m/>
    <m/>
    <m/>
    <m/>
    <m/>
    <m/>
    <m/>
    <m/>
    <m/>
    <m/>
    <m/>
    <m/>
    <m/>
    <s v="high"/>
    <s v="high"/>
    <b v="1"/>
    <b v="1"/>
  </r>
  <r>
    <s v="USR00255"/>
    <x v="50"/>
    <x v="0"/>
    <x v="1"/>
    <s v="Business"/>
    <n v="21.19"/>
    <n v="5.32"/>
    <n v="26.51"/>
    <n v="15.915000000000001"/>
    <m/>
    <m/>
    <m/>
    <m/>
    <m/>
    <m/>
    <m/>
    <m/>
    <m/>
    <m/>
    <m/>
    <m/>
    <m/>
    <m/>
    <m/>
    <m/>
    <s v="low"/>
    <s v="medium"/>
    <b v="1"/>
    <b v="1"/>
  </r>
  <r>
    <s v="USR00051"/>
    <x v="147"/>
    <x v="3"/>
    <x v="1"/>
    <s v="Premium"/>
    <n v="36.450000000000003"/>
    <n v="3.09"/>
    <n v="39.540000000000006"/>
    <n v="21.315000000000005"/>
    <m/>
    <m/>
    <m/>
    <m/>
    <m/>
    <m/>
    <m/>
    <m/>
    <m/>
    <m/>
    <m/>
    <m/>
    <m/>
    <m/>
    <m/>
    <m/>
    <s v="high"/>
    <s v="high"/>
    <b v="1"/>
    <b v="1"/>
  </r>
  <r>
    <s v="USR00180"/>
    <x v="148"/>
    <x v="2"/>
    <x v="1"/>
    <s v="Basic"/>
    <n v="3.95"/>
    <n v="4.63"/>
    <n v="8.58"/>
    <n v="6.6050000000000004"/>
    <m/>
    <m/>
    <m/>
    <m/>
    <m/>
    <m/>
    <m/>
    <m/>
    <m/>
    <m/>
    <m/>
    <m/>
    <m/>
    <m/>
    <m/>
    <m/>
    <s v="low"/>
    <s v="low"/>
    <b v="0"/>
    <b v="1"/>
  </r>
  <r>
    <s v="USR00109"/>
    <x v="109"/>
    <x v="0"/>
    <x v="1"/>
    <s v="Standard"/>
    <n v="38.68"/>
    <n v="3.4"/>
    <n v="42.08"/>
    <n v="22.74"/>
    <m/>
    <m/>
    <m/>
    <m/>
    <m/>
    <m/>
    <m/>
    <m/>
    <m/>
    <m/>
    <m/>
    <m/>
    <m/>
    <m/>
    <m/>
    <m/>
    <s v="high"/>
    <s v="high"/>
    <b v="1"/>
    <b v="1"/>
  </r>
  <r>
    <s v="USR00263"/>
    <x v="149"/>
    <x v="0"/>
    <x v="2"/>
    <s v="Basic"/>
    <n v="43.21"/>
    <n v="7.03"/>
    <n v="50.24"/>
    <n v="28.635000000000002"/>
    <m/>
    <m/>
    <m/>
    <m/>
    <m/>
    <m/>
    <m/>
    <m/>
    <m/>
    <m/>
    <m/>
    <m/>
    <m/>
    <m/>
    <m/>
    <m/>
    <s v="high"/>
    <s v="high"/>
    <b v="1"/>
    <b v="1"/>
  </r>
  <r>
    <s v="USR00147"/>
    <x v="150"/>
    <x v="1"/>
    <x v="0"/>
    <s v="Premium"/>
    <n v="14.81"/>
    <n v="7.61"/>
    <n v="22.42"/>
    <n v="15.015000000000001"/>
    <m/>
    <m/>
    <m/>
    <m/>
    <m/>
    <m/>
    <m/>
    <m/>
    <m/>
    <m/>
    <m/>
    <m/>
    <m/>
    <m/>
    <m/>
    <m/>
    <s v="low"/>
    <s v="medium"/>
    <b v="1"/>
    <b v="1"/>
  </r>
  <r>
    <s v="USR00100"/>
    <x v="151"/>
    <x v="5"/>
    <x v="0"/>
    <s v="Standard"/>
    <n v="16.079999999999998"/>
    <n v="11.58"/>
    <n v="27.659999999999997"/>
    <n v="19.619999999999997"/>
    <m/>
    <m/>
    <m/>
    <m/>
    <m/>
    <m/>
    <m/>
    <m/>
    <m/>
    <m/>
    <m/>
    <m/>
    <m/>
    <m/>
    <m/>
    <m/>
    <s v="low"/>
    <s v="medium"/>
    <b v="1"/>
    <b v="1"/>
  </r>
  <r>
    <s v="USR00150"/>
    <x v="152"/>
    <x v="2"/>
    <x v="1"/>
    <s v="Basic"/>
    <n v="4.6500000000000004"/>
    <n v="3.18"/>
    <n v="7.83"/>
    <n v="5.5049999999999999"/>
    <m/>
    <m/>
    <m/>
    <m/>
    <m/>
    <m/>
    <m/>
    <m/>
    <m/>
    <m/>
    <m/>
    <m/>
    <m/>
    <m/>
    <m/>
    <m/>
    <s v="low"/>
    <s v="low"/>
    <b v="0"/>
    <b v="1"/>
  </r>
  <r>
    <s v="USR00199"/>
    <x v="153"/>
    <x v="4"/>
    <x v="0"/>
    <s v="Basic"/>
    <n v="68.77"/>
    <n v="8.42"/>
    <n v="77.19"/>
    <n v="42.805"/>
    <m/>
    <m/>
    <m/>
    <m/>
    <m/>
    <m/>
    <m/>
    <m/>
    <m/>
    <m/>
    <m/>
    <m/>
    <m/>
    <m/>
    <m/>
    <m/>
    <s v="high"/>
    <s v="high"/>
    <b v="0"/>
    <b v="1"/>
  </r>
  <r>
    <s v="USR00191"/>
    <x v="154"/>
    <x v="5"/>
    <x v="1"/>
    <s v="Basic"/>
    <n v="47.6"/>
    <n v="3.8"/>
    <n v="51.4"/>
    <n v="27.599999999999998"/>
    <m/>
    <m/>
    <m/>
    <m/>
    <m/>
    <m/>
    <m/>
    <m/>
    <m/>
    <m/>
    <m/>
    <m/>
    <m/>
    <m/>
    <m/>
    <m/>
    <s v="high"/>
    <s v="high"/>
    <b v="1"/>
    <b v="1"/>
  </r>
  <r>
    <s v="USR00240"/>
    <x v="155"/>
    <x v="1"/>
    <x v="0"/>
    <s v="Basic"/>
    <n v="12.02"/>
    <n v="5.31"/>
    <n v="17.329999999999998"/>
    <n v="11.319999999999999"/>
    <m/>
    <m/>
    <m/>
    <m/>
    <m/>
    <m/>
    <m/>
    <m/>
    <m/>
    <m/>
    <m/>
    <m/>
    <m/>
    <m/>
    <m/>
    <m/>
    <s v="low"/>
    <s v="low"/>
    <b v="1"/>
    <b v="1"/>
  </r>
  <r>
    <s v="USR00019"/>
    <x v="156"/>
    <x v="0"/>
    <x v="0"/>
    <s v="Premium"/>
    <n v="21.7"/>
    <n v="3.62"/>
    <n v="25.32"/>
    <n v="14.47"/>
    <m/>
    <m/>
    <m/>
    <m/>
    <m/>
    <m/>
    <m/>
    <m/>
    <m/>
    <m/>
    <m/>
    <m/>
    <m/>
    <m/>
    <m/>
    <m/>
    <s v="low"/>
    <s v="medium"/>
    <b v="1"/>
    <b v="1"/>
  </r>
  <r>
    <s v="USR00237"/>
    <x v="157"/>
    <x v="0"/>
    <x v="2"/>
    <s v="Standard"/>
    <n v="23.04"/>
    <n v="3.26"/>
    <n v="26.299999999999997"/>
    <n v="14.779999999999998"/>
    <m/>
    <m/>
    <m/>
    <m/>
    <m/>
    <m/>
    <m/>
    <m/>
    <m/>
    <m/>
    <m/>
    <m/>
    <m/>
    <m/>
    <m/>
    <m/>
    <s v="low"/>
    <s v="medium"/>
    <b v="1"/>
    <b v="1"/>
  </r>
  <r>
    <s v="USR00079"/>
    <x v="158"/>
    <x v="5"/>
    <x v="1"/>
    <s v="Business"/>
    <n v="15.45"/>
    <n v="4.4000000000000004"/>
    <n v="19.850000000000001"/>
    <n v="12.125"/>
    <m/>
    <m/>
    <m/>
    <m/>
    <m/>
    <m/>
    <m/>
    <m/>
    <m/>
    <m/>
    <m/>
    <m/>
    <m/>
    <m/>
    <m/>
    <m/>
    <s v="low"/>
    <s v="low"/>
    <b v="1"/>
    <b v="1"/>
  </r>
  <r>
    <s v="USR00088"/>
    <x v="159"/>
    <x v="0"/>
    <x v="1"/>
    <s v="Premium"/>
    <n v="26.73"/>
    <n v="4.78"/>
    <n v="31.51"/>
    <n v="18.145"/>
    <m/>
    <m/>
    <m/>
    <m/>
    <m/>
    <m/>
    <m/>
    <m/>
    <m/>
    <m/>
    <m/>
    <m/>
    <m/>
    <m/>
    <m/>
    <m/>
    <s v="high"/>
    <s v="high"/>
    <b v="1"/>
    <b v="1"/>
  </r>
  <r>
    <s v="USR00287"/>
    <x v="140"/>
    <x v="0"/>
    <x v="0"/>
    <s v="Basic"/>
    <n v="24.66"/>
    <n v="11.33"/>
    <n v="35.99"/>
    <n v="23.66"/>
    <m/>
    <m/>
    <m/>
    <m/>
    <m/>
    <m/>
    <m/>
    <m/>
    <m/>
    <m/>
    <m/>
    <m/>
    <m/>
    <m/>
    <m/>
    <m/>
    <s v="high"/>
    <s v="high"/>
    <b v="1"/>
    <b v="1"/>
  </r>
  <r>
    <s v="USR00134"/>
    <x v="160"/>
    <x v="4"/>
    <x v="1"/>
    <s v="Premium"/>
    <n v="24.68"/>
    <n v="8.2799999999999994"/>
    <n v="32.96"/>
    <n v="20.62"/>
    <m/>
    <m/>
    <m/>
    <m/>
    <m/>
    <m/>
    <m/>
    <m/>
    <m/>
    <m/>
    <m/>
    <m/>
    <m/>
    <m/>
    <m/>
    <m/>
    <s v="high"/>
    <s v="high"/>
    <b v="1"/>
    <b v="1"/>
  </r>
  <r>
    <s v="USR00243"/>
    <x v="161"/>
    <x v="4"/>
    <x v="1"/>
    <s v="Premium"/>
    <n v="15.45"/>
    <n v="3.85"/>
    <n v="19.3"/>
    <n v="11.575000000000001"/>
    <m/>
    <m/>
    <m/>
    <m/>
    <m/>
    <m/>
    <m/>
    <m/>
    <m/>
    <m/>
    <m/>
    <m/>
    <m/>
    <m/>
    <m/>
    <m/>
    <s v="low"/>
    <s v="low"/>
    <b v="1"/>
    <b v="1"/>
  </r>
  <r>
    <s v="USR00186"/>
    <x v="59"/>
    <x v="2"/>
    <x v="1"/>
    <s v="Basic"/>
    <n v="3.76"/>
    <n v="1.82"/>
    <n v="5.58"/>
    <n v="3.7"/>
    <m/>
    <m/>
    <m/>
    <m/>
    <m/>
    <m/>
    <m/>
    <m/>
    <m/>
    <m/>
    <m/>
    <m/>
    <m/>
    <m/>
    <m/>
    <m/>
    <s v="low"/>
    <s v="low"/>
    <b v="0"/>
    <b v="1"/>
  </r>
  <r>
    <s v="USR00214"/>
    <x v="162"/>
    <x v="0"/>
    <x v="0"/>
    <s v="Basic"/>
    <n v="26.61"/>
    <n v="2.6"/>
    <n v="29.21"/>
    <n v="15.905000000000001"/>
    <m/>
    <m/>
    <m/>
    <m/>
    <m/>
    <m/>
    <m/>
    <m/>
    <m/>
    <m/>
    <m/>
    <m/>
    <m/>
    <m/>
    <m/>
    <m/>
    <s v="low"/>
    <s v="medium"/>
    <b v="1"/>
    <b v="1"/>
  </r>
  <r>
    <s v="USR00181"/>
    <x v="43"/>
    <x v="5"/>
    <x v="2"/>
    <s v="Basic"/>
    <n v="9.9499999999999993"/>
    <n v="4.74"/>
    <n v="14.69"/>
    <n v="9.7149999999999999"/>
    <m/>
    <m/>
    <m/>
    <m/>
    <m/>
    <m/>
    <m/>
    <m/>
    <m/>
    <m/>
    <m/>
    <m/>
    <m/>
    <m/>
    <m/>
    <m/>
    <s v="low"/>
    <s v="low"/>
    <b v="0"/>
    <b v="1"/>
  </r>
  <r>
    <s v="USR00216"/>
    <x v="109"/>
    <x v="0"/>
    <x v="0"/>
    <s v="Standard"/>
    <n v="24.94"/>
    <n v="2.5299999999999998"/>
    <n v="27.470000000000002"/>
    <n v="15.000000000000002"/>
    <m/>
    <m/>
    <m/>
    <m/>
    <m/>
    <m/>
    <m/>
    <m/>
    <m/>
    <m/>
    <m/>
    <m/>
    <m/>
    <m/>
    <m/>
    <m/>
    <s v="low"/>
    <s v="medium"/>
    <b v="1"/>
    <b v="1"/>
  </r>
  <r>
    <s v="USR00137"/>
    <x v="138"/>
    <x v="1"/>
    <x v="1"/>
    <s v="Basic"/>
    <n v="15.56"/>
    <n v="-1"/>
    <n v="14.56"/>
    <n v="6.78"/>
    <m/>
    <m/>
    <m/>
    <m/>
    <m/>
    <m/>
    <m/>
    <m/>
    <m/>
    <m/>
    <m/>
    <m/>
    <m/>
    <m/>
    <m/>
    <m/>
    <s v="low"/>
    <s v="low"/>
    <b v="0"/>
    <b v="1"/>
  </r>
  <r>
    <s v="USR00131"/>
    <x v="163"/>
    <x v="0"/>
    <x v="2"/>
    <s v="Basic"/>
    <n v="24.78"/>
    <n v="2.52"/>
    <n v="27.3"/>
    <n v="14.91"/>
    <m/>
    <m/>
    <m/>
    <m/>
    <m/>
    <m/>
    <m/>
    <m/>
    <m/>
    <m/>
    <m/>
    <m/>
    <m/>
    <m/>
    <m/>
    <m/>
    <s v="low"/>
    <s v="medium"/>
    <b v="1"/>
    <b v="1"/>
  </r>
  <r>
    <s v="USR00230"/>
    <x v="87"/>
    <x v="0"/>
    <x v="1"/>
    <s v="Basic"/>
    <n v="29.57"/>
    <n v="2.52"/>
    <n v="32.090000000000003"/>
    <n v="17.305000000000003"/>
    <m/>
    <m/>
    <m/>
    <m/>
    <m/>
    <m/>
    <m/>
    <m/>
    <m/>
    <m/>
    <m/>
    <m/>
    <m/>
    <m/>
    <m/>
    <m/>
    <s v="high"/>
    <s v="high"/>
    <b v="1"/>
    <b v="1"/>
  </r>
  <r>
    <s v="USR00023"/>
    <x v="164"/>
    <x v="4"/>
    <x v="1"/>
    <s v="Standard"/>
    <n v="20.79"/>
    <n v="3.96"/>
    <n v="24.75"/>
    <n v="14.355"/>
    <m/>
    <m/>
    <m/>
    <m/>
    <m/>
    <m/>
    <m/>
    <m/>
    <m/>
    <m/>
    <m/>
    <m/>
    <m/>
    <m/>
    <m/>
    <m/>
    <s v="low"/>
    <s v="medium"/>
    <b v="1"/>
    <b v="1"/>
  </r>
  <r>
    <s v="USR00169"/>
    <x v="165"/>
    <x v="3"/>
    <x v="1"/>
    <s v="Standard"/>
    <n v="22.64"/>
    <n v="5.2"/>
    <n v="27.84"/>
    <n v="16.52"/>
    <m/>
    <m/>
    <m/>
    <m/>
    <m/>
    <m/>
    <m/>
    <m/>
    <m/>
    <m/>
    <m/>
    <m/>
    <m/>
    <m/>
    <m/>
    <m/>
    <s v="low"/>
    <s v="medium"/>
    <b v="1"/>
    <b v="1"/>
  </r>
  <r>
    <s v="USR00155"/>
    <x v="166"/>
    <x v="0"/>
    <x v="0"/>
    <s v="Basic"/>
    <n v="25.84"/>
    <n v="3.06"/>
    <n v="28.9"/>
    <n v="15.979999999999999"/>
    <m/>
    <m/>
    <m/>
    <m/>
    <m/>
    <m/>
    <m/>
    <m/>
    <m/>
    <m/>
    <m/>
    <m/>
    <m/>
    <m/>
    <m/>
    <m/>
    <s v="low"/>
    <s v="medium"/>
    <b v="1"/>
    <b v="1"/>
  </r>
  <r>
    <s v="USR00037"/>
    <x v="167"/>
    <x v="0"/>
    <x v="1"/>
    <s v="Basic"/>
    <n v="32.549999999999997"/>
    <n v="2.15"/>
    <n v="34.699999999999996"/>
    <n v="18.424999999999997"/>
    <m/>
    <m/>
    <m/>
    <m/>
    <m/>
    <m/>
    <m/>
    <m/>
    <m/>
    <m/>
    <m/>
    <m/>
    <m/>
    <m/>
    <m/>
    <m/>
    <s v="high"/>
    <s v="high"/>
    <b v="1"/>
    <b v="1"/>
  </r>
  <r>
    <s v="USR00167"/>
    <x v="168"/>
    <x v="0"/>
    <x v="2"/>
    <s v="Premium"/>
    <n v="21.39"/>
    <n v="14.27"/>
    <n v="35.659999999999997"/>
    <n v="24.964999999999996"/>
    <m/>
    <m/>
    <m/>
    <m/>
    <m/>
    <m/>
    <m/>
    <m/>
    <m/>
    <m/>
    <m/>
    <m/>
    <m/>
    <m/>
    <m/>
    <m/>
    <s v="high"/>
    <s v="high"/>
    <b v="1"/>
    <b v="1"/>
  </r>
  <r>
    <s v="USR00118"/>
    <x v="62"/>
    <x v="0"/>
    <x v="0"/>
    <s v="Standard"/>
    <n v="9.7200000000000006"/>
    <n v="4.5599999999999996"/>
    <n v="14.280000000000001"/>
    <n v="9.42"/>
    <m/>
    <m/>
    <m/>
    <m/>
    <m/>
    <m/>
    <m/>
    <m/>
    <m/>
    <m/>
    <m/>
    <m/>
    <m/>
    <m/>
    <m/>
    <m/>
    <s v="low"/>
    <s v="low"/>
    <b v="0"/>
    <b v="1"/>
  </r>
  <r>
    <s v="USR00225"/>
    <x v="169"/>
    <x v="0"/>
    <x v="0"/>
    <s v="Basic"/>
    <n v="65.06"/>
    <n v="4.74"/>
    <n v="69.8"/>
    <n v="37.269999999999996"/>
    <m/>
    <m/>
    <m/>
    <m/>
    <m/>
    <m/>
    <m/>
    <m/>
    <m/>
    <m/>
    <m/>
    <m/>
    <m/>
    <m/>
    <m/>
    <m/>
    <s v="high"/>
    <s v="high"/>
    <b v="0"/>
    <b v="1"/>
  </r>
  <r>
    <s v="USR00279"/>
    <x v="170"/>
    <x v="0"/>
    <x v="1"/>
    <s v="Standard"/>
    <n v="14.03"/>
    <n v="4.3"/>
    <n v="18.329999999999998"/>
    <n v="11.315"/>
    <m/>
    <m/>
    <m/>
    <m/>
    <m/>
    <m/>
    <m/>
    <m/>
    <m/>
    <m/>
    <m/>
    <m/>
    <m/>
    <m/>
    <m/>
    <m/>
    <s v="low"/>
    <s v="low"/>
    <b v="1"/>
    <b v="1"/>
  </r>
  <r>
    <s v="USR00114"/>
    <x v="171"/>
    <x v="3"/>
    <x v="0"/>
    <s v="Basic"/>
    <n v="62.43"/>
    <n v="3.05"/>
    <n v="65.48"/>
    <n v="34.265000000000001"/>
    <m/>
    <m/>
    <m/>
    <m/>
    <m/>
    <m/>
    <m/>
    <m/>
    <m/>
    <m/>
    <m/>
    <m/>
    <m/>
    <m/>
    <m/>
    <m/>
    <s v="high"/>
    <s v="high"/>
    <b v="0"/>
    <b v="1"/>
  </r>
  <r>
    <s v="USR00290"/>
    <x v="172"/>
    <x v="4"/>
    <x v="1"/>
    <s v="Standard"/>
    <n v="6.32"/>
    <n v="0.9"/>
    <n v="7.2200000000000006"/>
    <n v="4.0600000000000005"/>
    <m/>
    <m/>
    <m/>
    <m/>
    <m/>
    <m/>
    <m/>
    <m/>
    <m/>
    <m/>
    <m/>
    <m/>
    <m/>
    <m/>
    <m/>
    <m/>
    <s v="low"/>
    <s v="low"/>
    <b v="0"/>
    <b v="1"/>
  </r>
  <r>
    <s v="USR00283"/>
    <x v="173"/>
    <x v="4"/>
    <x v="1"/>
    <s v="Standard"/>
    <n v="19.41"/>
    <n v="2.81"/>
    <n v="22.22"/>
    <n v="12.514999999999999"/>
    <m/>
    <m/>
    <m/>
    <m/>
    <m/>
    <m/>
    <m/>
    <m/>
    <m/>
    <m/>
    <m/>
    <m/>
    <m/>
    <m/>
    <m/>
    <m/>
    <s v="low"/>
    <s v="medium"/>
    <b v="1"/>
    <b v="1"/>
  </r>
  <r>
    <s v="USR00075"/>
    <x v="174"/>
    <x v="0"/>
    <x v="1"/>
    <s v="Standard"/>
    <n v="2.3199999999999998"/>
    <n v="7.45"/>
    <n v="9.77"/>
    <n v="8.61"/>
    <m/>
    <m/>
    <m/>
    <m/>
    <m/>
    <m/>
    <m/>
    <m/>
    <m/>
    <m/>
    <m/>
    <m/>
    <m/>
    <m/>
    <m/>
    <m/>
    <s v="low"/>
    <s v="low"/>
    <b v="0"/>
    <b v="1"/>
  </r>
  <r>
    <s v="USR00174"/>
    <x v="55"/>
    <x v="4"/>
    <x v="1"/>
    <s v="Premium"/>
    <n v="17.739999999999998"/>
    <n v="1.71"/>
    <n v="19.45"/>
    <n v="10.58"/>
    <m/>
    <m/>
    <m/>
    <m/>
    <m/>
    <m/>
    <m/>
    <m/>
    <m/>
    <m/>
    <m/>
    <m/>
    <m/>
    <m/>
    <m/>
    <m/>
    <s v="low"/>
    <s v="low"/>
    <b v="1"/>
    <b v="1"/>
  </r>
  <r>
    <s v="USR00072"/>
    <x v="175"/>
    <x v="0"/>
    <x v="0"/>
    <s v="Standard"/>
    <n v="23.68"/>
    <n v="5.05"/>
    <n v="28.73"/>
    <n v="16.89"/>
    <m/>
    <m/>
    <m/>
    <m/>
    <m/>
    <m/>
    <m/>
    <m/>
    <m/>
    <m/>
    <m/>
    <m/>
    <m/>
    <m/>
    <m/>
    <m/>
    <s v="low"/>
    <s v="medium"/>
    <b v="1"/>
    <b v="1"/>
  </r>
  <r>
    <s v="USR00107"/>
    <x v="141"/>
    <x v="0"/>
    <x v="2"/>
    <s v="Premium"/>
    <n v="35.46"/>
    <n v="1.64"/>
    <n v="37.1"/>
    <n v="19.37"/>
    <m/>
    <m/>
    <m/>
    <m/>
    <m/>
    <m/>
    <m/>
    <m/>
    <m/>
    <m/>
    <m/>
    <m/>
    <m/>
    <m/>
    <m/>
    <m/>
    <s v="high"/>
    <s v="high"/>
    <b v="1"/>
    <b v="1"/>
  </r>
  <r>
    <s v="USR00189"/>
    <x v="176"/>
    <x v="1"/>
    <x v="0"/>
    <s v="Business"/>
    <n v="13.45"/>
    <n v="3.13"/>
    <n v="16.579999999999998"/>
    <n v="9.8549999999999986"/>
    <m/>
    <m/>
    <m/>
    <m/>
    <m/>
    <m/>
    <m/>
    <m/>
    <m/>
    <m/>
    <m/>
    <m/>
    <m/>
    <m/>
    <m/>
    <m/>
    <s v="low"/>
    <s v="low"/>
    <b v="0"/>
    <b v="1"/>
  </r>
  <r>
    <s v="USR00016"/>
    <x v="177"/>
    <x v="4"/>
    <x v="0"/>
    <s v="Business"/>
    <n v="22.84"/>
    <n v="12.64"/>
    <n v="35.480000000000004"/>
    <n v="24.060000000000002"/>
    <m/>
    <m/>
    <m/>
    <m/>
    <m/>
    <m/>
    <m/>
    <m/>
    <m/>
    <m/>
    <m/>
    <m/>
    <m/>
    <m/>
    <m/>
    <m/>
    <s v="high"/>
    <s v="high"/>
    <b v="1"/>
    <b v="1"/>
  </r>
  <r>
    <s v="USR00158"/>
    <x v="178"/>
    <x v="3"/>
    <x v="2"/>
    <s v="Standard"/>
    <n v="24.38"/>
    <n v="12.56"/>
    <n v="36.94"/>
    <n v="24.75"/>
    <m/>
    <m/>
    <m/>
    <m/>
    <m/>
    <m/>
    <m/>
    <m/>
    <m/>
    <m/>
    <m/>
    <m/>
    <m/>
    <m/>
    <m/>
    <m/>
    <s v="high"/>
    <s v="high"/>
    <b v="1"/>
    <b v="1"/>
  </r>
  <r>
    <s v="USR00106"/>
    <x v="179"/>
    <x v="0"/>
    <x v="1"/>
    <s v="Basic"/>
    <n v="63.52"/>
    <n v="6.72"/>
    <n v="70.240000000000009"/>
    <n v="38.480000000000004"/>
    <m/>
    <m/>
    <m/>
    <m/>
    <m/>
    <m/>
    <m/>
    <m/>
    <m/>
    <m/>
    <m/>
    <m/>
    <m/>
    <m/>
    <m/>
    <m/>
    <s v="high"/>
    <s v="high"/>
    <b v="0"/>
    <b v="1"/>
  </r>
  <r>
    <s v="USR00112"/>
    <x v="180"/>
    <x v="4"/>
    <x v="1"/>
    <s v="Basic"/>
    <n v="36.04"/>
    <n v="5.29"/>
    <n v="41.33"/>
    <n v="23.31"/>
    <m/>
    <m/>
    <m/>
    <m/>
    <m/>
    <m/>
    <m/>
    <m/>
    <m/>
    <m/>
    <m/>
    <m/>
    <m/>
    <m/>
    <m/>
    <m/>
    <s v="high"/>
    <s v="high"/>
    <b v="1"/>
    <b v="1"/>
  </r>
  <r>
    <s v="USR00089"/>
    <x v="181"/>
    <x v="2"/>
    <x v="2"/>
    <s v="Business"/>
    <n v="27.05"/>
    <n v="1.01"/>
    <n v="28.060000000000002"/>
    <n v="14.535000000000002"/>
    <m/>
    <m/>
    <m/>
    <m/>
    <m/>
    <m/>
    <m/>
    <m/>
    <m/>
    <m/>
    <m/>
    <m/>
    <m/>
    <m/>
    <m/>
    <m/>
    <s v="low"/>
    <s v="medium"/>
    <b v="1"/>
    <b v="1"/>
  </r>
  <r>
    <s v="USR00085"/>
    <x v="182"/>
    <x v="3"/>
    <x v="2"/>
    <s v="Standard"/>
    <n v="21.11"/>
    <n v="7.04"/>
    <n v="28.15"/>
    <n v="17.594999999999999"/>
    <m/>
    <m/>
    <m/>
    <m/>
    <m/>
    <m/>
    <m/>
    <m/>
    <m/>
    <m/>
    <m/>
    <m/>
    <m/>
    <m/>
    <m/>
    <m/>
    <s v="low"/>
    <s v="medium"/>
    <b v="1"/>
    <b v="1"/>
  </r>
  <r>
    <s v="USR00027"/>
    <x v="183"/>
    <x v="5"/>
    <x v="1"/>
    <s v="Basic"/>
    <n v="67.5"/>
    <n v="8"/>
    <n v="75.5"/>
    <n v="41.75"/>
    <m/>
    <m/>
    <m/>
    <m/>
    <m/>
    <m/>
    <m/>
    <m/>
    <m/>
    <m/>
    <m/>
    <m/>
    <m/>
    <m/>
    <m/>
    <m/>
    <s v="high"/>
    <s v="high"/>
    <b v="0"/>
    <b v="1"/>
  </r>
  <r>
    <s v="USR00233"/>
    <x v="184"/>
    <x v="1"/>
    <x v="1"/>
    <s v="Business"/>
    <n v="15.92"/>
    <n v="5.24"/>
    <n v="21.16"/>
    <n v="13.2"/>
    <m/>
    <m/>
    <m/>
    <m/>
    <m/>
    <m/>
    <m/>
    <m/>
    <m/>
    <m/>
    <m/>
    <m/>
    <m/>
    <m/>
    <m/>
    <m/>
    <s v="low"/>
    <s v="medium"/>
    <b v="1"/>
    <b v="1"/>
  </r>
  <r>
    <s v="USR00256"/>
    <x v="185"/>
    <x v="4"/>
    <x v="0"/>
    <s v="Standard"/>
    <n v="8.94"/>
    <n v="10.85"/>
    <n v="19.79"/>
    <n v="15.32"/>
    <m/>
    <m/>
    <m/>
    <m/>
    <m/>
    <m/>
    <m/>
    <m/>
    <m/>
    <m/>
    <m/>
    <m/>
    <m/>
    <m/>
    <m/>
    <m/>
    <s v="low"/>
    <s v="low"/>
    <b v="1"/>
    <b v="1"/>
  </r>
  <r>
    <s v="USR00003"/>
    <x v="186"/>
    <x v="2"/>
    <x v="2"/>
    <s v="Standard"/>
    <n v="23.37"/>
    <n v="5.9"/>
    <n v="29.270000000000003"/>
    <n v="17.585000000000001"/>
    <m/>
    <m/>
    <m/>
    <m/>
    <m/>
    <m/>
    <m/>
    <m/>
    <m/>
    <m/>
    <m/>
    <m/>
    <m/>
    <m/>
    <m/>
    <m/>
    <s v="low"/>
    <s v="medium"/>
    <b v="1"/>
    <b v="1"/>
  </r>
  <r>
    <s v="USR00104"/>
    <x v="187"/>
    <x v="3"/>
    <x v="0"/>
    <s v="Basic"/>
    <n v="7.2"/>
    <n v="8.2200000000000006"/>
    <n v="15.420000000000002"/>
    <n v="11.82"/>
    <m/>
    <m/>
    <m/>
    <m/>
    <m/>
    <m/>
    <m/>
    <m/>
    <m/>
    <m/>
    <m/>
    <m/>
    <m/>
    <m/>
    <m/>
    <m/>
    <s v="low"/>
    <s v="low"/>
    <b v="1"/>
    <b v="1"/>
  </r>
  <r>
    <s v="USR00135"/>
    <x v="188"/>
    <x v="4"/>
    <x v="1"/>
    <s v="Business"/>
    <n v="39.01"/>
    <n v="0.85"/>
    <n v="39.86"/>
    <n v="20.355"/>
    <m/>
    <m/>
    <m/>
    <m/>
    <m/>
    <m/>
    <m/>
    <m/>
    <m/>
    <m/>
    <m/>
    <m/>
    <m/>
    <m/>
    <m/>
    <m/>
    <s v="high"/>
    <s v="high"/>
    <b v="1"/>
    <b v="1"/>
  </r>
  <r>
    <s v="USR00210"/>
    <x v="18"/>
    <x v="5"/>
    <x v="1"/>
    <s v="Business"/>
    <n v="7.92"/>
    <n v="14.24"/>
    <n v="22.16"/>
    <n v="18.2"/>
    <m/>
    <m/>
    <m/>
    <m/>
    <m/>
    <m/>
    <m/>
    <m/>
    <m/>
    <m/>
    <m/>
    <m/>
    <m/>
    <m/>
    <m/>
    <m/>
    <s v="low"/>
    <s v="medium"/>
    <b v="1"/>
    <b v="1"/>
  </r>
  <r>
    <s v="USR00212"/>
    <x v="189"/>
    <x v="4"/>
    <x v="1"/>
    <s v="Standard"/>
    <n v="22.25"/>
    <n v="7.28"/>
    <n v="29.53"/>
    <n v="18.405000000000001"/>
    <m/>
    <m/>
    <m/>
    <m/>
    <m/>
    <m/>
    <m/>
    <m/>
    <m/>
    <m/>
    <m/>
    <m/>
    <m/>
    <m/>
    <m/>
    <m/>
    <s v="low"/>
    <s v="medium"/>
    <b v="1"/>
    <b v="1"/>
  </r>
  <r>
    <s v="USR00038"/>
    <x v="190"/>
    <x v="3"/>
    <x v="0"/>
    <s v="Basic"/>
    <n v="88.28"/>
    <n v="4.5599999999999996"/>
    <n v="92.84"/>
    <n v="48.7"/>
    <m/>
    <m/>
    <m/>
    <m/>
    <m/>
    <m/>
    <m/>
    <m/>
    <m/>
    <m/>
    <m/>
    <m/>
    <m/>
    <m/>
    <m/>
    <m/>
    <s v="high"/>
    <s v="high"/>
    <b v="0"/>
    <b v="1"/>
  </r>
  <r>
    <s v="USR00192"/>
    <x v="191"/>
    <x v="1"/>
    <x v="0"/>
    <s v="Standard"/>
    <n v="9.35"/>
    <n v="0.92"/>
    <n v="10.27"/>
    <n v="5.5949999999999998"/>
    <m/>
    <m/>
    <m/>
    <m/>
    <m/>
    <m/>
    <m/>
    <m/>
    <m/>
    <m/>
    <m/>
    <m/>
    <m/>
    <m/>
    <m/>
    <m/>
    <s v="low"/>
    <s v="low"/>
    <b v="0"/>
    <b v="1"/>
  </r>
  <r>
    <s v="USR00022"/>
    <x v="192"/>
    <x v="0"/>
    <x v="1"/>
    <s v="Premium"/>
    <n v="10.02"/>
    <n v="3.97"/>
    <n v="13.99"/>
    <n v="8.98"/>
    <m/>
    <m/>
    <m/>
    <m/>
    <m/>
    <m/>
    <m/>
    <m/>
    <m/>
    <m/>
    <m/>
    <m/>
    <m/>
    <m/>
    <m/>
    <m/>
    <s v="low"/>
    <s v="low"/>
    <b v="0"/>
    <b v="1"/>
  </r>
  <r>
    <s v="USR00211"/>
    <x v="193"/>
    <x v="0"/>
    <x v="1"/>
    <s v="Basic"/>
    <n v="3.84"/>
    <n v="6.35"/>
    <n v="10.19"/>
    <n v="8.27"/>
    <m/>
    <m/>
    <m/>
    <m/>
    <m/>
    <m/>
    <m/>
    <m/>
    <m/>
    <m/>
    <m/>
    <m/>
    <m/>
    <m/>
    <m/>
    <m/>
    <s v="low"/>
    <s v="low"/>
    <b v="0"/>
    <b v="1"/>
  </r>
  <r>
    <s v="USR00047"/>
    <x v="194"/>
    <x v="1"/>
    <x v="1"/>
    <s v="Basic"/>
    <n v="23.89"/>
    <n v="3.55"/>
    <n v="27.44"/>
    <n v="15.495000000000001"/>
    <m/>
    <m/>
    <m/>
    <m/>
    <m/>
    <m/>
    <m/>
    <m/>
    <m/>
    <m/>
    <m/>
    <m/>
    <m/>
    <m/>
    <m/>
    <m/>
    <s v="low"/>
    <s v="medium"/>
    <b v="1"/>
    <b v="1"/>
  </r>
  <r>
    <s v="USR00052"/>
    <x v="58"/>
    <x v="0"/>
    <x v="0"/>
    <s v="Standard"/>
    <n v="8.2899999999999991"/>
    <n v="0.61"/>
    <n v="8.8999999999999986"/>
    <n v="4.754999999999999"/>
    <m/>
    <m/>
    <m/>
    <m/>
    <m/>
    <m/>
    <m/>
    <m/>
    <m/>
    <m/>
    <m/>
    <m/>
    <m/>
    <m/>
    <m/>
    <m/>
    <s v="low"/>
    <s v="low"/>
    <b v="0"/>
    <b v="1"/>
  </r>
  <r>
    <s v="USR00264"/>
    <x v="195"/>
    <x v="2"/>
    <x v="0"/>
    <s v="Premium"/>
    <n v="15.36"/>
    <n v="5.53"/>
    <n v="20.89"/>
    <n v="13.21"/>
    <m/>
    <m/>
    <m/>
    <m/>
    <m/>
    <m/>
    <m/>
    <m/>
    <m/>
    <m/>
    <m/>
    <m/>
    <m/>
    <m/>
    <m/>
    <m/>
    <s v="low"/>
    <s v="medium"/>
    <b v="1"/>
    <b v="1"/>
  </r>
  <r>
    <s v="USR00288"/>
    <x v="127"/>
    <x v="4"/>
    <x v="0"/>
    <s v="Business"/>
    <n v="-7"/>
    <n v="5.29"/>
    <n v="-1.71"/>
    <n v="1.79"/>
    <m/>
    <m/>
    <m/>
    <m/>
    <m/>
    <m/>
    <m/>
    <m/>
    <m/>
    <m/>
    <m/>
    <m/>
    <m/>
    <m/>
    <m/>
    <m/>
    <s v="low"/>
    <s v="low"/>
    <b v="0"/>
    <b v="1"/>
  </r>
  <r>
    <s v="USR00144"/>
    <x v="196"/>
    <x v="0"/>
    <x v="1"/>
    <s v="Standard"/>
    <n v="23.01"/>
    <n v="7.46"/>
    <n v="30.470000000000002"/>
    <n v="18.965"/>
    <m/>
    <m/>
    <m/>
    <m/>
    <m/>
    <m/>
    <m/>
    <m/>
    <m/>
    <m/>
    <m/>
    <m/>
    <m/>
    <m/>
    <m/>
    <m/>
    <s v="high"/>
    <s v="high"/>
    <b v="1"/>
    <b v="1"/>
  </r>
  <r>
    <s v="USR00270"/>
    <x v="197"/>
    <x v="0"/>
    <x v="1"/>
    <s v="Premium"/>
    <n v="25.5"/>
    <n v="4.5999999999999996"/>
    <n v="30.1"/>
    <n v="17.350000000000001"/>
    <m/>
    <m/>
    <m/>
    <m/>
    <m/>
    <m/>
    <m/>
    <m/>
    <m/>
    <m/>
    <m/>
    <m/>
    <m/>
    <m/>
    <m/>
    <m/>
    <s v="high"/>
    <s v="high"/>
    <b v="1"/>
    <b v="1"/>
  </r>
  <r>
    <s v="USR00046"/>
    <x v="85"/>
    <x v="0"/>
    <x v="1"/>
    <s v="Standard"/>
    <n v="25.47"/>
    <n v="11.17"/>
    <n v="36.64"/>
    <n v="23.905000000000001"/>
    <m/>
    <m/>
    <m/>
    <m/>
    <m/>
    <m/>
    <m/>
    <m/>
    <m/>
    <m/>
    <m/>
    <m/>
    <m/>
    <m/>
    <m/>
    <m/>
    <s v="high"/>
    <s v="high"/>
    <b v="1"/>
    <b v="1"/>
  </r>
  <r>
    <s v="USR00073"/>
    <x v="198"/>
    <x v="0"/>
    <x v="0"/>
    <s v="Basic"/>
    <n v="26.32"/>
    <n v="4.3099999999999996"/>
    <n v="30.63"/>
    <n v="17.47"/>
    <m/>
    <m/>
    <m/>
    <m/>
    <m/>
    <m/>
    <m/>
    <m/>
    <m/>
    <m/>
    <m/>
    <m/>
    <m/>
    <m/>
    <m/>
    <m/>
    <s v="high"/>
    <s v="high"/>
    <b v="1"/>
    <b v="1"/>
  </r>
  <r>
    <s v="USR00122"/>
    <x v="199"/>
    <x v="2"/>
    <x v="1"/>
    <s v="Standard"/>
    <n v="9.1300000000000008"/>
    <n v="3.72"/>
    <n v="12.850000000000001"/>
    <n v="8.2850000000000001"/>
    <m/>
    <m/>
    <m/>
    <m/>
    <m/>
    <m/>
    <m/>
    <m/>
    <m/>
    <m/>
    <m/>
    <m/>
    <m/>
    <m/>
    <m/>
    <m/>
    <s v="low"/>
    <s v="low"/>
    <b v="0"/>
    <b v="1"/>
  </r>
  <r>
    <s v="USR00133"/>
    <x v="200"/>
    <x v="1"/>
    <x v="1"/>
    <s v="Premium"/>
    <n v="14.88"/>
    <n v="2.94"/>
    <n v="17.82"/>
    <n v="10.38"/>
    <m/>
    <m/>
    <m/>
    <m/>
    <m/>
    <m/>
    <m/>
    <m/>
    <m/>
    <m/>
    <m/>
    <m/>
    <m/>
    <m/>
    <m/>
    <m/>
    <s v="low"/>
    <s v="low"/>
    <b v="1"/>
    <b v="1"/>
  </r>
  <r>
    <s v="USR00292"/>
    <x v="201"/>
    <x v="4"/>
    <x v="1"/>
    <s v="Basic"/>
    <n v="44.9"/>
    <n v="3.69"/>
    <n v="48.589999999999996"/>
    <n v="26.139999999999997"/>
    <m/>
    <m/>
    <m/>
    <m/>
    <m/>
    <m/>
    <m/>
    <m/>
    <m/>
    <m/>
    <m/>
    <m/>
    <m/>
    <m/>
    <m/>
    <m/>
    <s v="high"/>
    <s v="high"/>
    <b v="1"/>
    <b v="1"/>
  </r>
  <r>
    <s v="USR00008"/>
    <x v="202"/>
    <x v="5"/>
    <x v="1"/>
    <s v="Basic"/>
    <n v="13.87"/>
    <n v="1.8"/>
    <n v="15.67"/>
    <n v="8.7349999999999994"/>
    <m/>
    <m/>
    <m/>
    <m/>
    <m/>
    <m/>
    <m/>
    <m/>
    <m/>
    <m/>
    <m/>
    <m/>
    <m/>
    <m/>
    <m/>
    <m/>
    <s v="low"/>
    <s v="low"/>
    <b v="0"/>
    <b v="1"/>
  </r>
  <r>
    <s v="USR00148"/>
    <x v="203"/>
    <x v="1"/>
    <x v="0"/>
    <s v="Premium"/>
    <n v="36.42"/>
    <n v="3.75"/>
    <n v="40.17"/>
    <n v="21.96"/>
    <m/>
    <m/>
    <m/>
    <m/>
    <m/>
    <m/>
    <m/>
    <m/>
    <m/>
    <m/>
    <m/>
    <m/>
    <m/>
    <m/>
    <m/>
    <m/>
    <s v="high"/>
    <s v="high"/>
    <b v="1"/>
    <b v="1"/>
  </r>
  <r>
    <s v="USR00161"/>
    <x v="95"/>
    <x v="2"/>
    <x v="2"/>
    <s v="Basic"/>
    <n v="22.5"/>
    <n v="7.09"/>
    <n v="29.59"/>
    <n v="18.34"/>
    <m/>
    <m/>
    <m/>
    <m/>
    <m/>
    <m/>
    <m/>
    <m/>
    <m/>
    <m/>
    <m/>
    <m/>
    <m/>
    <m/>
    <m/>
    <m/>
    <s v="low"/>
    <s v="medium"/>
    <b v="1"/>
    <b v="1"/>
  </r>
  <r>
    <s v="USR00140"/>
    <x v="64"/>
    <x v="0"/>
    <x v="1"/>
    <s v="Premium"/>
    <n v="50.58"/>
    <n v="0.82"/>
    <n v="51.4"/>
    <n v="26.11"/>
    <m/>
    <m/>
    <m/>
    <m/>
    <m/>
    <m/>
    <m/>
    <m/>
    <m/>
    <m/>
    <m/>
    <m/>
    <m/>
    <m/>
    <m/>
    <m/>
    <s v="high"/>
    <s v="high"/>
    <b v="1"/>
    <b v="1"/>
  </r>
  <r>
    <s v="USR00251"/>
    <x v="92"/>
    <x v="3"/>
    <x v="1"/>
    <s v="Basic"/>
    <n v="5.48"/>
    <n v="3.58"/>
    <n v="9.06"/>
    <n v="6.32"/>
    <m/>
    <m/>
    <m/>
    <m/>
    <m/>
    <m/>
    <m/>
    <m/>
    <m/>
    <m/>
    <m/>
    <m/>
    <m/>
    <m/>
    <m/>
    <m/>
    <s v="low"/>
    <s v="low"/>
    <b v="0"/>
    <b v="1"/>
  </r>
  <r>
    <s v="USR00110"/>
    <x v="204"/>
    <x v="5"/>
    <x v="1"/>
    <s v="Standard"/>
    <n v="42.55"/>
    <n v="3.67"/>
    <n v="46.22"/>
    <n v="24.945"/>
    <m/>
    <m/>
    <m/>
    <m/>
    <m/>
    <m/>
    <m/>
    <m/>
    <m/>
    <m/>
    <m/>
    <m/>
    <m/>
    <m/>
    <m/>
    <m/>
    <s v="high"/>
    <s v="high"/>
    <b v="1"/>
    <b v="1"/>
  </r>
  <r>
    <s v="USR00086"/>
    <x v="205"/>
    <x v="0"/>
    <x v="0"/>
    <s v="Basic"/>
    <n v="17.16"/>
    <n v="2.1800000000000002"/>
    <n v="19.34"/>
    <n v="10.76"/>
    <m/>
    <m/>
    <m/>
    <m/>
    <m/>
    <m/>
    <m/>
    <m/>
    <m/>
    <m/>
    <m/>
    <m/>
    <m/>
    <m/>
    <m/>
    <m/>
    <s v="low"/>
    <s v="low"/>
    <b v="1"/>
    <b v="1"/>
  </r>
  <r>
    <s v="USR00154"/>
    <x v="149"/>
    <x v="3"/>
    <x v="2"/>
    <s v="Standard"/>
    <n v="21.12"/>
    <n v="8.4700000000000006"/>
    <n v="29.590000000000003"/>
    <n v="19.03"/>
    <m/>
    <m/>
    <m/>
    <m/>
    <m/>
    <m/>
    <m/>
    <m/>
    <m/>
    <m/>
    <m/>
    <m/>
    <m/>
    <m/>
    <m/>
    <m/>
    <s v="low"/>
    <s v="medium"/>
    <b v="1"/>
    <b v="1"/>
  </r>
  <r>
    <s v="USR00068"/>
    <x v="86"/>
    <x v="0"/>
    <x v="0"/>
    <s v="Premium"/>
    <n v="10.84"/>
    <n v="11"/>
    <n v="21.84"/>
    <n v="16.420000000000002"/>
    <m/>
    <m/>
    <m/>
    <m/>
    <m/>
    <m/>
    <m/>
    <m/>
    <m/>
    <m/>
    <m/>
    <m/>
    <m/>
    <m/>
    <m/>
    <m/>
    <s v="low"/>
    <s v="medium"/>
    <b v="1"/>
    <b v="1"/>
  </r>
  <r>
    <s v="USR00197"/>
    <x v="133"/>
    <x v="1"/>
    <x v="2"/>
    <s v="Basic"/>
    <n v="15.56"/>
    <n v="3.93"/>
    <n v="19.490000000000002"/>
    <n v="11.71"/>
    <m/>
    <m/>
    <m/>
    <m/>
    <m/>
    <m/>
    <m/>
    <m/>
    <m/>
    <m/>
    <m/>
    <m/>
    <m/>
    <m/>
    <m/>
    <m/>
    <s v="low"/>
    <s v="low"/>
    <b v="1"/>
    <b v="1"/>
  </r>
  <r>
    <s v="USR00142"/>
    <x v="206"/>
    <x v="0"/>
    <x v="1"/>
    <s v="Basic"/>
    <n v="11.62"/>
    <n v="5.21"/>
    <n v="16.829999999999998"/>
    <n v="11.02"/>
    <m/>
    <m/>
    <m/>
    <m/>
    <m/>
    <m/>
    <m/>
    <m/>
    <m/>
    <m/>
    <m/>
    <m/>
    <m/>
    <m/>
    <m/>
    <m/>
    <s v="low"/>
    <s v="low"/>
    <b v="1"/>
    <b v="1"/>
  </r>
  <r>
    <s v="USR00001"/>
    <x v="196"/>
    <x v="0"/>
    <x v="1"/>
    <s v="Basic"/>
    <n v="12.12"/>
    <n v="3.18"/>
    <n v="15.299999999999999"/>
    <n v="9.24"/>
    <m/>
    <m/>
    <m/>
    <m/>
    <m/>
    <m/>
    <m/>
    <m/>
    <m/>
    <m/>
    <m/>
    <m/>
    <m/>
    <m/>
    <m/>
    <m/>
    <s v="low"/>
    <s v="low"/>
    <b v="0"/>
    <b v="1"/>
  </r>
  <r>
    <s v="USR00147"/>
    <x v="207"/>
    <x v="0"/>
    <x v="1"/>
    <s v="Basic"/>
    <n v="14.81"/>
    <n v="10.32"/>
    <n v="25.130000000000003"/>
    <n v="17.725000000000001"/>
    <m/>
    <m/>
    <m/>
    <m/>
    <m/>
    <m/>
    <m/>
    <m/>
    <m/>
    <m/>
    <m/>
    <m/>
    <m/>
    <m/>
    <m/>
    <m/>
    <s v="low"/>
    <s v="medium"/>
    <b v="1"/>
    <b v="1"/>
  </r>
  <r>
    <s v="USR00276"/>
    <x v="208"/>
    <x v="4"/>
    <x v="2"/>
    <s v="Premium"/>
    <n v="49.1"/>
    <n v="12.67"/>
    <n v="61.77"/>
    <n v="37.22"/>
    <m/>
    <m/>
    <m/>
    <m/>
    <m/>
    <m/>
    <m/>
    <m/>
    <m/>
    <m/>
    <m/>
    <m/>
    <m/>
    <m/>
    <m/>
    <m/>
    <s v="high"/>
    <s v="high"/>
    <b v="0"/>
    <b v="1"/>
  </r>
  <r>
    <s v="USR00187"/>
    <x v="63"/>
    <x v="1"/>
    <x v="1"/>
    <s v="Premium"/>
    <n v="54.97"/>
    <n v="2.74"/>
    <n v="57.71"/>
    <n v="30.225000000000001"/>
    <m/>
    <m/>
    <m/>
    <m/>
    <m/>
    <m/>
    <m/>
    <m/>
    <m/>
    <m/>
    <m/>
    <m/>
    <m/>
    <m/>
    <m/>
    <m/>
    <s v="high"/>
    <s v="high"/>
    <b v="0"/>
    <b v="1"/>
  </r>
  <r>
    <s v="USR00045"/>
    <x v="209"/>
    <x v="0"/>
    <x v="1"/>
    <s v="Basic"/>
    <n v="4.22"/>
    <n v="3.17"/>
    <n v="7.39"/>
    <n v="5.2799999999999994"/>
    <m/>
    <m/>
    <m/>
    <m/>
    <m/>
    <m/>
    <m/>
    <m/>
    <m/>
    <m/>
    <m/>
    <m/>
    <m/>
    <m/>
    <m/>
    <m/>
    <s v="low"/>
    <s v="low"/>
    <b v="0"/>
    <b v="1"/>
  </r>
  <r>
    <s v="USR00132"/>
    <x v="210"/>
    <x v="3"/>
    <x v="0"/>
    <s v="Basic"/>
    <n v="21.55"/>
    <n v="4.51"/>
    <n v="26.060000000000002"/>
    <n v="15.285"/>
    <m/>
    <m/>
    <m/>
    <m/>
    <m/>
    <m/>
    <m/>
    <m/>
    <m/>
    <m/>
    <m/>
    <m/>
    <m/>
    <m/>
    <m/>
    <m/>
    <s v="low"/>
    <s v="medium"/>
    <b v="1"/>
    <b v="1"/>
  </r>
  <r>
    <s v="USR00269"/>
    <x v="211"/>
    <x v="4"/>
    <x v="1"/>
    <s v="Business"/>
    <n v="68.010000000000005"/>
    <n v="8.84"/>
    <n v="76.850000000000009"/>
    <n v="42.845000000000006"/>
    <m/>
    <m/>
    <m/>
    <m/>
    <m/>
    <m/>
    <m/>
    <m/>
    <m/>
    <m/>
    <m/>
    <m/>
    <m/>
    <m/>
    <m/>
    <m/>
    <s v="high"/>
    <s v="high"/>
    <b v="0"/>
    <b v="1"/>
  </r>
  <r>
    <s v="USR00145"/>
    <x v="22"/>
    <x v="0"/>
    <x v="2"/>
    <s v="Premium"/>
    <n v="63.67"/>
    <n v="2.74"/>
    <n v="66.41"/>
    <n v="34.574999999999996"/>
    <m/>
    <m/>
    <m/>
    <m/>
    <m/>
    <m/>
    <m/>
    <m/>
    <m/>
    <m/>
    <m/>
    <m/>
    <m/>
    <m/>
    <m/>
    <m/>
    <s v="high"/>
    <s v="high"/>
    <b v="0"/>
    <b v="1"/>
  </r>
  <r>
    <s v="USR00056"/>
    <x v="212"/>
    <x v="0"/>
    <x v="2"/>
    <s v="Standard"/>
    <n v="18.34"/>
    <n v="4.75"/>
    <n v="23.09"/>
    <n v="13.92"/>
    <m/>
    <m/>
    <m/>
    <m/>
    <m/>
    <m/>
    <m/>
    <m/>
    <m/>
    <m/>
    <m/>
    <m/>
    <m/>
    <m/>
    <m/>
    <m/>
    <s v="low"/>
    <s v="medium"/>
    <b v="1"/>
    <b v="1"/>
  </r>
  <r>
    <s v="USR00162"/>
    <x v="213"/>
    <x v="0"/>
    <x v="0"/>
    <s v="Basic"/>
    <n v="6.37"/>
    <n v="2.95"/>
    <n v="9.32"/>
    <n v="6.1349999999999998"/>
    <m/>
    <m/>
    <m/>
    <m/>
    <m/>
    <m/>
    <m/>
    <m/>
    <m/>
    <m/>
    <m/>
    <m/>
    <m/>
    <m/>
    <m/>
    <m/>
    <s v="low"/>
    <s v="low"/>
    <b v="0"/>
    <b v="1"/>
  </r>
  <r>
    <s v="USR00028"/>
    <x v="214"/>
    <x v="1"/>
    <x v="1"/>
    <s v="Basic"/>
    <n v="12.88"/>
    <n v="1.1499999999999999"/>
    <n v="14.030000000000001"/>
    <n v="7.5900000000000007"/>
    <m/>
    <m/>
    <m/>
    <m/>
    <m/>
    <m/>
    <m/>
    <m/>
    <m/>
    <m/>
    <m/>
    <m/>
    <m/>
    <m/>
    <m/>
    <m/>
    <s v="low"/>
    <s v="low"/>
    <b v="0"/>
    <b v="1"/>
  </r>
  <r>
    <s v="USR00017"/>
    <x v="215"/>
    <x v="0"/>
    <x v="2"/>
    <s v="Premium"/>
    <n v="2.94"/>
    <n v="5.03"/>
    <n v="7.9700000000000006"/>
    <n v="6.5"/>
    <m/>
    <m/>
    <m/>
    <m/>
    <m/>
    <m/>
    <m/>
    <m/>
    <m/>
    <m/>
    <m/>
    <m/>
    <m/>
    <m/>
    <m/>
    <m/>
    <s v="low"/>
    <s v="low"/>
    <b v="0"/>
    <b v="1"/>
  </r>
  <r>
    <s v="USR00092"/>
    <x v="216"/>
    <x v="1"/>
    <x v="1"/>
    <s v="Basic"/>
    <n v="51.95"/>
    <n v="5.16"/>
    <n v="57.11"/>
    <n v="31.134999999999998"/>
    <m/>
    <m/>
    <m/>
    <m/>
    <m/>
    <m/>
    <m/>
    <m/>
    <m/>
    <m/>
    <m/>
    <m/>
    <m/>
    <m/>
    <m/>
    <m/>
    <s v="high"/>
    <s v="high"/>
    <b v="0"/>
    <b v="1"/>
  </r>
  <r>
    <s v="USR00182"/>
    <x v="217"/>
    <x v="0"/>
    <x v="0"/>
    <s v="Basic"/>
    <n v="20.89"/>
    <n v="2.4300000000000002"/>
    <n v="23.32"/>
    <n v="12.875"/>
    <m/>
    <m/>
    <m/>
    <m/>
    <m/>
    <m/>
    <m/>
    <m/>
    <m/>
    <m/>
    <m/>
    <m/>
    <m/>
    <m/>
    <m/>
    <m/>
    <s v="low"/>
    <s v="medium"/>
    <b v="1"/>
    <b v="1"/>
  </r>
  <r>
    <s v="USR00226"/>
    <x v="218"/>
    <x v="0"/>
    <x v="1"/>
    <s v="Premium"/>
    <n v="18.14"/>
    <n v="4.76"/>
    <n v="22.9"/>
    <n v="13.829999999999998"/>
    <m/>
    <m/>
    <m/>
    <m/>
    <m/>
    <m/>
    <m/>
    <m/>
    <m/>
    <m/>
    <m/>
    <m/>
    <m/>
    <m/>
    <m/>
    <m/>
    <s v="low"/>
    <s v="medium"/>
    <b v="1"/>
    <b v="1"/>
  </r>
  <r>
    <s v="USR00213"/>
    <x v="66"/>
    <x v="4"/>
    <x v="1"/>
    <s v="Premium"/>
    <n v="20.18"/>
    <n v="10.14"/>
    <n v="30.32"/>
    <n v="20.23"/>
    <m/>
    <m/>
    <m/>
    <m/>
    <m/>
    <m/>
    <m/>
    <m/>
    <m/>
    <m/>
    <m/>
    <m/>
    <m/>
    <m/>
    <m/>
    <m/>
    <s v="high"/>
    <s v="high"/>
    <b v="1"/>
    <b v="1"/>
  </r>
  <r>
    <s v="USR00119"/>
    <x v="117"/>
    <x v="2"/>
    <x v="2"/>
    <s v="Premium"/>
    <n v="11.69"/>
    <n v="1.96"/>
    <n v="13.649999999999999"/>
    <n v="7.8049999999999997"/>
    <m/>
    <m/>
    <m/>
    <m/>
    <m/>
    <m/>
    <m/>
    <m/>
    <m/>
    <m/>
    <m/>
    <m/>
    <m/>
    <m/>
    <m/>
    <m/>
    <s v="low"/>
    <s v="low"/>
    <b v="0"/>
    <b v="1"/>
  </r>
  <r>
    <s v="USR00123"/>
    <x v="219"/>
    <x v="5"/>
    <x v="0"/>
    <s v="Standard"/>
    <n v="20.93"/>
    <n v="3.94"/>
    <n v="24.87"/>
    <n v="14.405000000000001"/>
    <m/>
    <m/>
    <m/>
    <m/>
    <m/>
    <m/>
    <m/>
    <m/>
    <m/>
    <m/>
    <m/>
    <m/>
    <m/>
    <m/>
    <m/>
    <m/>
    <s v="low"/>
    <s v="medium"/>
    <b v="1"/>
    <b v="1"/>
  </r>
  <r>
    <s v="USR00036"/>
    <x v="220"/>
    <x v="0"/>
    <x v="1"/>
    <s v="Standard"/>
    <n v="38.299999999999997"/>
    <n v="4.96"/>
    <n v="43.26"/>
    <n v="24.11"/>
    <m/>
    <m/>
    <m/>
    <m/>
    <m/>
    <m/>
    <m/>
    <m/>
    <m/>
    <m/>
    <m/>
    <m/>
    <m/>
    <m/>
    <m/>
    <m/>
    <s v="high"/>
    <s v="high"/>
    <b v="1"/>
    <b v="1"/>
  </r>
  <r>
    <s v="USR00066"/>
    <x v="221"/>
    <x v="0"/>
    <x v="1"/>
    <s v="Standard"/>
    <n v="48"/>
    <n v="1.93"/>
    <n v="49.93"/>
    <n v="25.93"/>
    <m/>
    <m/>
    <m/>
    <m/>
    <m/>
    <m/>
    <m/>
    <m/>
    <m/>
    <m/>
    <m/>
    <m/>
    <m/>
    <m/>
    <m/>
    <m/>
    <s v="high"/>
    <s v="high"/>
    <b v="1"/>
    <b v="1"/>
  </r>
  <r>
    <s v="USR00060"/>
    <x v="222"/>
    <x v="0"/>
    <x v="2"/>
    <s v="Premium"/>
    <n v="28.12"/>
    <n v="0.8"/>
    <n v="28.92"/>
    <n v="14.860000000000001"/>
    <m/>
    <m/>
    <m/>
    <m/>
    <m/>
    <m/>
    <m/>
    <m/>
    <m/>
    <m/>
    <m/>
    <m/>
    <m/>
    <m/>
    <m/>
    <m/>
    <s v="low"/>
    <s v="medium"/>
    <b v="1"/>
    <b v="1"/>
  </r>
  <r>
    <s v="USR00203"/>
    <x v="102"/>
    <x v="0"/>
    <x v="0"/>
    <s v="Standard"/>
    <n v="45.51"/>
    <n v="4.9800000000000004"/>
    <n v="50.489999999999995"/>
    <n v="27.734999999999999"/>
    <m/>
    <m/>
    <m/>
    <m/>
    <m/>
    <m/>
    <m/>
    <m/>
    <m/>
    <m/>
    <m/>
    <m/>
    <m/>
    <m/>
    <m/>
    <m/>
    <s v="high"/>
    <s v="high"/>
    <b v="1"/>
    <b v="1"/>
  </r>
  <r>
    <s v="USR00277"/>
    <x v="223"/>
    <x v="4"/>
    <x v="0"/>
    <s v="Standard"/>
    <n v="11.63"/>
    <n v="3.21"/>
    <n v="14.84"/>
    <n v="9.0250000000000004"/>
    <m/>
    <m/>
    <m/>
    <m/>
    <m/>
    <m/>
    <m/>
    <m/>
    <m/>
    <m/>
    <m/>
    <m/>
    <m/>
    <m/>
    <m/>
    <m/>
    <s v="low"/>
    <s v="low"/>
    <b v="0"/>
    <b v="1"/>
  </r>
  <r>
    <s v="USR00250"/>
    <x v="184"/>
    <x v="4"/>
    <x v="0"/>
    <s v="Basic"/>
    <n v="8.94"/>
    <n v="5.24"/>
    <n v="14.18"/>
    <n v="9.7100000000000009"/>
    <m/>
    <m/>
    <m/>
    <m/>
    <m/>
    <m/>
    <m/>
    <m/>
    <m/>
    <m/>
    <m/>
    <m/>
    <m/>
    <m/>
    <m/>
    <m/>
    <s v="low"/>
    <s v="low"/>
    <b v="0"/>
    <b v="1"/>
  </r>
  <r>
    <s v="USR00104"/>
    <x v="224"/>
    <x v="0"/>
    <x v="2"/>
    <s v="Business"/>
    <n v="62.86"/>
    <n v="3.63"/>
    <n v="66.489999999999995"/>
    <n v="35.059999999999995"/>
    <m/>
    <m/>
    <m/>
    <m/>
    <m/>
    <m/>
    <m/>
    <m/>
    <m/>
    <m/>
    <m/>
    <m/>
    <m/>
    <m/>
    <m/>
    <m/>
    <s v="high"/>
    <s v="high"/>
    <b v="0"/>
    <b v="1"/>
  </r>
  <r>
    <s v="USR00002"/>
    <x v="225"/>
    <x v="3"/>
    <x v="0"/>
    <s v="Premium"/>
    <n v="37.78"/>
    <n v="9.98"/>
    <n v="47.760000000000005"/>
    <n v="28.870000000000005"/>
    <m/>
    <m/>
    <m/>
    <m/>
    <m/>
    <m/>
    <m/>
    <m/>
    <m/>
    <m/>
    <m/>
    <m/>
    <m/>
    <m/>
    <m/>
    <m/>
    <s v="high"/>
    <s v="high"/>
    <b v="1"/>
    <b v="1"/>
  </r>
  <r>
    <s v="USR00209"/>
    <x v="219"/>
    <x v="2"/>
    <x v="2"/>
    <s v="Basic"/>
    <n v="28.19"/>
    <n v="1.61"/>
    <n v="29.8"/>
    <n v="15.705"/>
    <m/>
    <m/>
    <m/>
    <m/>
    <m/>
    <m/>
    <m/>
    <m/>
    <m/>
    <m/>
    <m/>
    <m/>
    <m/>
    <m/>
    <m/>
    <m/>
    <s v="low"/>
    <s v="medium"/>
    <b v="1"/>
    <b v="1"/>
  </r>
  <r>
    <s v="USR00228"/>
    <x v="226"/>
    <x v="4"/>
    <x v="1"/>
    <s v="Standard"/>
    <n v="38.299999999999997"/>
    <n v="4.96"/>
    <n v="43.26"/>
    <n v="24.11"/>
    <m/>
    <m/>
    <m/>
    <m/>
    <m/>
    <m/>
    <m/>
    <m/>
    <m/>
    <m/>
    <m/>
    <m/>
    <m/>
    <m/>
    <m/>
    <m/>
    <s v="high"/>
    <s v="high"/>
    <b v="1"/>
    <b v="1"/>
  </r>
  <r>
    <s v="USR00066"/>
    <x v="227"/>
    <x v="1"/>
    <x v="1"/>
    <s v="Premium"/>
    <n v="63.67"/>
    <n v="11.58"/>
    <n v="75.25"/>
    <n v="43.414999999999999"/>
    <m/>
    <m/>
    <m/>
    <m/>
    <m/>
    <m/>
    <m/>
    <m/>
    <m/>
    <m/>
    <m/>
    <m/>
    <m/>
    <m/>
    <m/>
    <m/>
    <s v="high"/>
    <s v="high"/>
    <b v="0"/>
    <b v="1"/>
  </r>
  <r>
    <s v="USR00012"/>
    <x v="156"/>
    <x v="2"/>
    <x v="1"/>
    <s v="Business"/>
    <n v="61.74"/>
    <n v="4.1399999999999997"/>
    <n v="65.88"/>
    <n v="35.01"/>
    <m/>
    <m/>
    <m/>
    <m/>
    <m/>
    <m/>
    <m/>
    <m/>
    <m/>
    <m/>
    <m/>
    <m/>
    <m/>
    <m/>
    <m/>
    <m/>
    <s v="high"/>
    <s v="high"/>
    <b v="0"/>
    <b v="1"/>
  </r>
  <r>
    <s v="USR00103"/>
    <x v="148"/>
    <x v="3"/>
    <x v="1"/>
    <s v="Business"/>
    <n v="77.84"/>
    <n v="14.61"/>
    <n v="92.45"/>
    <n v="53.53"/>
    <m/>
    <m/>
    <m/>
    <m/>
    <m/>
    <m/>
    <m/>
    <m/>
    <m/>
    <m/>
    <m/>
    <m/>
    <m/>
    <m/>
    <m/>
    <m/>
    <s v="high"/>
    <s v="high"/>
    <b v="0"/>
    <b v="1"/>
  </r>
  <r>
    <s v="USR00061"/>
    <x v="31"/>
    <x v="2"/>
    <x v="1"/>
    <s v="Standard"/>
    <n v="21.35"/>
    <n v="6.8"/>
    <n v="28.150000000000002"/>
    <n v="17.475000000000001"/>
    <m/>
    <m/>
    <m/>
    <m/>
    <m/>
    <m/>
    <m/>
    <m/>
    <m/>
    <m/>
    <m/>
    <m/>
    <m/>
    <m/>
    <m/>
    <m/>
    <s v="low"/>
    <s v="medium"/>
    <b v="1"/>
    <b v="1"/>
  </r>
  <r>
    <s v="USR00055"/>
    <x v="121"/>
    <x v="3"/>
    <x v="0"/>
    <s v="Premium"/>
    <n v="50.4"/>
    <n v="8.23"/>
    <n v="58.629999999999995"/>
    <n v="33.43"/>
    <m/>
    <m/>
    <m/>
    <m/>
    <m/>
    <m/>
    <m/>
    <m/>
    <m/>
    <m/>
    <m/>
    <m/>
    <m/>
    <m/>
    <m/>
    <m/>
    <s v="high"/>
    <s v="high"/>
    <b v="0"/>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628A1D-355C-43B2-A901-56DE90FDA01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 firstHeaderRow="1" firstDataRow="1" firstDataCol="1"/>
  <pivotFields count="12">
    <pivotField showAll="0"/>
    <pivotField axis="axisRow" numFmtId="164" showAll="0">
      <items count="229">
        <item h="1" x="175"/>
        <item h="1" x="25"/>
        <item h="1" x="7"/>
        <item h="1" x="79"/>
        <item h="1" x="83"/>
        <item h="1" x="49"/>
        <item h="1" x="68"/>
        <item h="1" x="17"/>
        <item h="1" x="44"/>
        <item h="1" x="167"/>
        <item h="1" x="144"/>
        <item h="1" x="149"/>
        <item h="1" x="54"/>
        <item h="1" x="174"/>
        <item h="1" x="8"/>
        <item h="1" x="127"/>
        <item h="1" x="177"/>
        <item h="1" x="16"/>
        <item h="1" x="110"/>
        <item h="1" x="70"/>
        <item h="1" x="55"/>
        <item h="1" x="119"/>
        <item h="1" x="90"/>
        <item h="1" x="156"/>
        <item h="1" x="77"/>
        <item h="1" x="1"/>
        <item h="1" x="33"/>
        <item h="1" x="11"/>
        <item h="1" x="57"/>
        <item h="1" x="84"/>
        <item h="1" x="42"/>
        <item h="1" x="133"/>
        <item h="1" x="91"/>
        <item h="1" x="208"/>
        <item h="1" x="213"/>
        <item h="1" x="150"/>
        <item h="1" x="14"/>
        <item h="1" x="53"/>
        <item h="1" x="92"/>
        <item h="1" x="184"/>
        <item h="1" x="206"/>
        <item h="1" x="99"/>
        <item h="1" x="186"/>
        <item h="1" x="162"/>
        <item h="1" x="204"/>
        <item h="1" x="28"/>
        <item h="1" x="223"/>
        <item h="1" x="225"/>
        <item h="1" x="227"/>
        <item h="1" x="96"/>
        <item h="1" x="191"/>
        <item h="1" x="111"/>
        <item h="1" x="170"/>
        <item h="1" x="74"/>
        <item h="1" x="178"/>
        <item h="1" x="188"/>
        <item h="1" x="194"/>
        <item h="1" x="3"/>
        <item h="1" x="199"/>
        <item h="1" x="81"/>
        <item h="1" x="139"/>
        <item h="1" x="107"/>
        <item h="1" x="135"/>
        <item h="1" x="136"/>
        <item h="1" x="105"/>
        <item h="1" x="112"/>
        <item h="1" x="221"/>
        <item h="1" x="31"/>
        <item h="1" x="172"/>
        <item h="1" x="82"/>
        <item h="1" x="43"/>
        <item h="1" x="58"/>
        <item h="1" x="94"/>
        <item h="1" x="207"/>
        <item h="1" x="103"/>
        <item h="1" x="218"/>
        <item h="1" x="216"/>
        <item h="1" x="120"/>
        <item h="1" x="142"/>
        <item h="1" x="182"/>
        <item h="1" x="26"/>
        <item h="1" x="18"/>
        <item h="1" x="212"/>
        <item h="1" x="217"/>
        <item h="1" x="62"/>
        <item h="1" x="72"/>
        <item h="1" x="125"/>
        <item h="1" x="165"/>
        <item h="1" x="87"/>
        <item h="1" x="117"/>
        <item h="1" x="143"/>
        <item h="1" x="211"/>
        <item h="1" x="2"/>
        <item h="1" x="48"/>
        <item h="1" x="196"/>
        <item h="1" x="102"/>
        <item h="1" x="224"/>
        <item h="1" x="85"/>
        <item h="1" x="24"/>
        <item h="1" x="88"/>
        <item h="1" x="114"/>
        <item h="1" x="190"/>
        <item h="1" x="13"/>
        <item h="1" x="201"/>
        <item h="1" x="80"/>
        <item h="1" x="108"/>
        <item h="1" x="39"/>
        <item h="1" x="197"/>
        <item h="1" x="123"/>
        <item h="1" x="116"/>
        <item h="1" x="160"/>
        <item h="1" x="141"/>
        <item h="1" x="202"/>
        <item h="1" x="35"/>
        <item h="1" x="100"/>
        <item h="1" x="220"/>
        <item h="1" x="138"/>
        <item h="1" x="140"/>
        <item x="19"/>
        <item h="1" x="153"/>
        <item h="1" x="76"/>
        <item h="1" x="183"/>
        <item h="1" x="75"/>
        <item h="1" x="41"/>
        <item h="1" x="169"/>
        <item h="1" x="219"/>
        <item h="1" x="185"/>
        <item h="1" x="86"/>
        <item h="1" x="23"/>
        <item h="1" x="64"/>
        <item h="1" x="106"/>
        <item h="1" x="5"/>
        <item h="1" x="71"/>
        <item h="1" x="131"/>
        <item h="1" x="60"/>
        <item h="1" x="56"/>
        <item h="1" x="36"/>
        <item h="1" x="151"/>
        <item h="1" x="205"/>
        <item h="1" x="157"/>
        <item h="1" x="203"/>
        <item h="1" x="148"/>
        <item h="1" x="146"/>
        <item h="1" x="187"/>
        <item h="1" x="161"/>
        <item h="1" x="115"/>
        <item h="1" x="32"/>
        <item h="1" x="40"/>
        <item h="1" x="66"/>
        <item h="1" x="9"/>
        <item h="1" x="65"/>
        <item h="1" x="129"/>
        <item h="1" x="73"/>
        <item h="1" x="104"/>
        <item h="1" x="189"/>
        <item h="1" x="63"/>
        <item h="1" x="52"/>
        <item h="1" x="198"/>
        <item h="1" x="98"/>
        <item h="1" x="163"/>
        <item h="1" x="34"/>
        <item h="1" x="152"/>
        <item h="1" x="195"/>
        <item h="1" x="145"/>
        <item h="1" x="95"/>
        <item h="1" x="158"/>
        <item h="1" x="166"/>
        <item h="1" x="171"/>
        <item h="1" x="168"/>
        <item h="1" x="179"/>
        <item h="1" x="147"/>
        <item h="1" x="164"/>
        <item h="1" x="210"/>
        <item h="1" x="154"/>
        <item h="1" x="155"/>
        <item h="1" x="173"/>
        <item h="1" x="137"/>
        <item h="1" x="181"/>
        <item h="1" x="69"/>
        <item h="1" x="226"/>
        <item h="1" x="4"/>
        <item h="1" x="134"/>
        <item h="1" x="12"/>
        <item h="1" x="6"/>
        <item h="1" x="200"/>
        <item h="1" x="67"/>
        <item h="1" x="192"/>
        <item h="1" x="109"/>
        <item h="1" x="121"/>
        <item h="1" x="30"/>
        <item h="1" x="193"/>
        <item h="1" x="37"/>
        <item h="1" x="15"/>
        <item h="1" x="97"/>
        <item h="1" x="21"/>
        <item h="1" x="38"/>
        <item h="1" x="46"/>
        <item h="1" x="122"/>
        <item h="1" x="132"/>
        <item h="1" x="215"/>
        <item h="1" x="93"/>
        <item h="1" x="209"/>
        <item h="1" x="222"/>
        <item h="1" x="126"/>
        <item h="1" x="50"/>
        <item h="1" x="159"/>
        <item h="1" x="61"/>
        <item h="1" x="27"/>
        <item h="1" x="0"/>
        <item h="1" x="29"/>
        <item h="1" x="118"/>
        <item h="1" x="124"/>
        <item h="1" x="22"/>
        <item h="1" x="78"/>
        <item h="1" x="101"/>
        <item h="1" x="113"/>
        <item h="1" x="89"/>
        <item h="1" x="59"/>
        <item h="1" x="180"/>
        <item h="1" x="176"/>
        <item h="1" x="130"/>
        <item h="1" x="20"/>
        <item h="1" x="214"/>
        <item h="1" x="47"/>
        <item h="1" x="128"/>
        <item h="1" x="10"/>
        <item h="1" x="51"/>
        <item h="1" x="45"/>
        <item t="default"/>
      </items>
    </pivotField>
    <pivotField showAll="0"/>
    <pivotField showAll="0"/>
    <pivotField showAll="0"/>
    <pivotField dataField="1" numFmtId="165" showAll="0"/>
    <pivotField showAll="0"/>
    <pivotField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1"/>
    <field x="10"/>
    <field x="9"/>
    <field x="1"/>
  </rowFields>
  <rowItems count="2">
    <i>
      <x v="1"/>
    </i>
    <i t="grand">
      <x/>
    </i>
  </rowItems>
  <colItems count="1">
    <i/>
  </colItems>
  <dataFields count="1">
    <dataField name="Sum of Data_Usage_GB" fld="5" baseField="0" baseItem="0" numFmtId="165"/>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1"/>
          </reference>
        </references>
      </pivotArea>
    </chartFormat>
    <chartFormat chart="7" format="8">
      <pivotArea type="data" outline="0" fieldPosition="0">
        <references count="2">
          <reference field="4294967294" count="1" selected="0">
            <x v="0"/>
          </reference>
          <reference field="11" count="1" selected="0">
            <x v="2"/>
          </reference>
        </references>
      </pivotArea>
    </chartFormat>
    <chartFormat chart="10"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7B9521-7A98-457C-BE6E-5F010F98653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46:B49" firstHeaderRow="1" firstDataRow="1" firstDataCol="1"/>
  <pivotFields count="32">
    <pivotField showAll="0"/>
    <pivotField axis="axisRow" numFmtId="164" showAll="0">
      <items count="229">
        <item x="175"/>
        <item x="25"/>
        <item x="7"/>
        <item x="79"/>
        <item x="83"/>
        <item x="49"/>
        <item x="68"/>
        <item x="17"/>
        <item x="44"/>
        <item x="167"/>
        <item x="144"/>
        <item x="149"/>
        <item x="54"/>
        <item x="174"/>
        <item x="8"/>
        <item x="127"/>
        <item x="177"/>
        <item x="16"/>
        <item x="110"/>
        <item x="70"/>
        <item x="55"/>
        <item x="119"/>
        <item x="90"/>
        <item x="156"/>
        <item x="77"/>
        <item x="1"/>
        <item x="33"/>
        <item x="11"/>
        <item x="57"/>
        <item x="84"/>
        <item x="42"/>
        <item x="133"/>
        <item x="91"/>
        <item x="208"/>
        <item x="213"/>
        <item x="150"/>
        <item x="14"/>
        <item x="53"/>
        <item x="92"/>
        <item x="184"/>
        <item x="206"/>
        <item x="99"/>
        <item x="186"/>
        <item x="162"/>
        <item x="204"/>
        <item x="28"/>
        <item x="223"/>
        <item x="225"/>
        <item x="227"/>
        <item x="96"/>
        <item x="191"/>
        <item x="111"/>
        <item x="170"/>
        <item x="74"/>
        <item x="178"/>
        <item x="188"/>
        <item x="194"/>
        <item x="3"/>
        <item x="199"/>
        <item x="81"/>
        <item x="139"/>
        <item x="107"/>
        <item x="135"/>
        <item x="136"/>
        <item x="105"/>
        <item x="112"/>
        <item x="221"/>
        <item x="31"/>
        <item x="172"/>
        <item x="82"/>
        <item x="43"/>
        <item x="58"/>
        <item x="94"/>
        <item x="207"/>
        <item x="103"/>
        <item x="218"/>
        <item x="216"/>
        <item x="120"/>
        <item x="142"/>
        <item x="182"/>
        <item x="26"/>
        <item x="18"/>
        <item x="212"/>
        <item x="217"/>
        <item x="62"/>
        <item x="72"/>
        <item x="125"/>
        <item x="165"/>
        <item x="87"/>
        <item x="117"/>
        <item x="143"/>
        <item x="211"/>
        <item x="2"/>
        <item x="48"/>
        <item x="196"/>
        <item x="102"/>
        <item x="224"/>
        <item x="85"/>
        <item x="24"/>
        <item x="88"/>
        <item x="114"/>
        <item x="190"/>
        <item x="13"/>
        <item x="201"/>
        <item x="80"/>
        <item x="108"/>
        <item x="39"/>
        <item x="197"/>
        <item x="123"/>
        <item x="116"/>
        <item x="160"/>
        <item x="141"/>
        <item x="202"/>
        <item x="35"/>
        <item x="100"/>
        <item x="220"/>
        <item x="138"/>
        <item x="140"/>
        <item x="19"/>
        <item x="153"/>
        <item x="76"/>
        <item x="183"/>
        <item x="75"/>
        <item x="41"/>
        <item x="169"/>
        <item x="219"/>
        <item x="185"/>
        <item x="86"/>
        <item x="23"/>
        <item x="64"/>
        <item x="106"/>
        <item x="5"/>
        <item x="71"/>
        <item x="131"/>
        <item x="60"/>
        <item x="56"/>
        <item x="36"/>
        <item x="151"/>
        <item x="205"/>
        <item x="157"/>
        <item x="203"/>
        <item x="148"/>
        <item x="146"/>
        <item x="187"/>
        <item x="161"/>
        <item x="115"/>
        <item x="32"/>
        <item x="40"/>
        <item x="66"/>
        <item x="9"/>
        <item x="65"/>
        <item x="129"/>
        <item x="73"/>
        <item x="104"/>
        <item x="189"/>
        <item x="63"/>
        <item x="52"/>
        <item x="198"/>
        <item x="98"/>
        <item x="163"/>
        <item x="34"/>
        <item x="152"/>
        <item x="195"/>
        <item x="145"/>
        <item x="95"/>
        <item x="158"/>
        <item x="166"/>
        <item x="171"/>
        <item x="168"/>
        <item x="179"/>
        <item x="147"/>
        <item x="164"/>
        <item x="210"/>
        <item x="154"/>
        <item x="155"/>
        <item x="173"/>
        <item x="137"/>
        <item x="181"/>
        <item x="69"/>
        <item x="226"/>
        <item x="4"/>
        <item x="134"/>
        <item x="12"/>
        <item x="6"/>
        <item x="200"/>
        <item x="67"/>
        <item x="192"/>
        <item x="109"/>
        <item x="121"/>
        <item x="30"/>
        <item x="193"/>
        <item x="37"/>
        <item x="15"/>
        <item x="97"/>
        <item x="21"/>
        <item x="38"/>
        <item x="46"/>
        <item x="122"/>
        <item x="132"/>
        <item x="215"/>
        <item x="93"/>
        <item x="209"/>
        <item x="222"/>
        <item x="126"/>
        <item x="50"/>
        <item x="159"/>
        <item x="61"/>
        <item x="27"/>
        <item x="0"/>
        <item x="29"/>
        <item x="118"/>
        <item x="124"/>
        <item x="22"/>
        <item x="78"/>
        <item x="101"/>
        <item x="113"/>
        <item x="89"/>
        <item x="59"/>
        <item x="180"/>
        <item x="176"/>
        <item x="130"/>
        <item x="20"/>
        <item x="214"/>
        <item x="47"/>
        <item x="128"/>
        <item x="10"/>
        <item x="51"/>
        <item x="45"/>
        <item t="default"/>
      </items>
    </pivotField>
    <pivotField showAll="0">
      <items count="7">
        <item h="1" x="2"/>
        <item h="1" x="5"/>
        <item h="1" x="1"/>
        <item h="1" x="4"/>
        <item x="3"/>
        <item h="1" x="0"/>
        <item t="default"/>
      </items>
    </pivotField>
    <pivotField showAll="0">
      <items count="4">
        <item x="2"/>
        <item x="1"/>
        <item x="0"/>
        <item t="default"/>
      </items>
    </pivotField>
    <pivotField showAll="0"/>
    <pivotField dataField="1"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31"/>
    <field x="30"/>
    <field x="29"/>
    <field x="1"/>
  </rowFields>
  <rowItems count="3">
    <i>
      <x v="1"/>
    </i>
    <i>
      <x v="2"/>
    </i>
    <i t="grand">
      <x/>
    </i>
  </rowItems>
  <colItems count="1">
    <i/>
  </colItems>
  <dataFields count="1">
    <dataField name="Sum of Data_Usage_GB" fld="5" baseField="0" baseItem="0" numFmtId="165"/>
  </dataFields>
  <chartFormats count="2">
    <chartFormat chart="27"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7AA474-0063-4BB0-BC28-D1E0BECDDF88}"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5:B27" firstHeaderRow="1" firstDataRow="1" firstDataCol="1"/>
  <pivotFields count="32">
    <pivotField showAll="0"/>
    <pivotField numFmtId="164" showAll="0">
      <items count="229">
        <item x="175"/>
        <item x="25"/>
        <item x="7"/>
        <item x="79"/>
        <item x="83"/>
        <item x="49"/>
        <item x="68"/>
        <item x="17"/>
        <item x="44"/>
        <item x="167"/>
        <item x="144"/>
        <item x="149"/>
        <item x="54"/>
        <item x="174"/>
        <item x="8"/>
        <item x="127"/>
        <item x="177"/>
        <item x="16"/>
        <item x="110"/>
        <item x="70"/>
        <item x="55"/>
        <item x="119"/>
        <item x="90"/>
        <item x="156"/>
        <item x="77"/>
        <item x="1"/>
        <item x="33"/>
        <item x="11"/>
        <item x="57"/>
        <item x="84"/>
        <item x="42"/>
        <item x="133"/>
        <item x="91"/>
        <item x="208"/>
        <item x="213"/>
        <item x="150"/>
        <item x="14"/>
        <item x="53"/>
        <item x="92"/>
        <item x="184"/>
        <item x="206"/>
        <item x="99"/>
        <item x="186"/>
        <item x="162"/>
        <item x="204"/>
        <item x="28"/>
        <item x="223"/>
        <item x="225"/>
        <item x="227"/>
        <item x="96"/>
        <item x="191"/>
        <item x="111"/>
        <item x="170"/>
        <item x="74"/>
        <item x="178"/>
        <item x="188"/>
        <item x="194"/>
        <item x="3"/>
        <item x="199"/>
        <item x="81"/>
        <item x="139"/>
        <item x="107"/>
        <item x="135"/>
        <item x="136"/>
        <item x="105"/>
        <item x="112"/>
        <item x="221"/>
        <item x="31"/>
        <item x="172"/>
        <item x="82"/>
        <item x="43"/>
        <item x="58"/>
        <item x="94"/>
        <item x="207"/>
        <item x="103"/>
        <item x="218"/>
        <item x="216"/>
        <item x="120"/>
        <item x="142"/>
        <item x="182"/>
        <item x="26"/>
        <item x="18"/>
        <item x="212"/>
        <item x="217"/>
        <item x="62"/>
        <item x="72"/>
        <item x="125"/>
        <item x="165"/>
        <item x="87"/>
        <item x="117"/>
        <item x="143"/>
        <item x="211"/>
        <item x="2"/>
        <item x="48"/>
        <item x="196"/>
        <item x="102"/>
        <item x="224"/>
        <item x="85"/>
        <item x="24"/>
        <item x="88"/>
        <item x="114"/>
        <item x="190"/>
        <item x="13"/>
        <item x="201"/>
        <item x="80"/>
        <item x="108"/>
        <item x="39"/>
        <item x="197"/>
        <item x="123"/>
        <item x="116"/>
        <item x="160"/>
        <item x="141"/>
        <item x="202"/>
        <item x="35"/>
        <item x="100"/>
        <item x="220"/>
        <item x="138"/>
        <item x="140"/>
        <item x="19"/>
        <item x="153"/>
        <item x="76"/>
        <item x="183"/>
        <item x="75"/>
        <item x="41"/>
        <item x="169"/>
        <item x="219"/>
        <item x="185"/>
        <item x="86"/>
        <item x="23"/>
        <item x="64"/>
        <item x="106"/>
        <item x="5"/>
        <item x="71"/>
        <item x="131"/>
        <item x="60"/>
        <item x="56"/>
        <item x="36"/>
        <item x="151"/>
        <item x="205"/>
        <item x="157"/>
        <item x="203"/>
        <item x="148"/>
        <item x="146"/>
        <item x="187"/>
        <item x="161"/>
        <item x="115"/>
        <item x="32"/>
        <item x="40"/>
        <item x="66"/>
        <item x="9"/>
        <item x="65"/>
        <item x="129"/>
        <item x="73"/>
        <item x="104"/>
        <item x="189"/>
        <item x="63"/>
        <item x="52"/>
        <item x="198"/>
        <item x="98"/>
        <item x="163"/>
        <item x="34"/>
        <item x="152"/>
        <item x="195"/>
        <item x="145"/>
        <item x="95"/>
        <item x="158"/>
        <item x="166"/>
        <item x="171"/>
        <item x="168"/>
        <item x="179"/>
        <item x="147"/>
        <item x="164"/>
        <item x="210"/>
        <item x="154"/>
        <item x="155"/>
        <item x="173"/>
        <item x="137"/>
        <item x="181"/>
        <item x="69"/>
        <item x="226"/>
        <item x="4"/>
        <item x="134"/>
        <item x="12"/>
        <item x="6"/>
        <item x="200"/>
        <item x="67"/>
        <item x="192"/>
        <item x="109"/>
        <item x="121"/>
        <item x="30"/>
        <item x="193"/>
        <item x="37"/>
        <item x="15"/>
        <item x="97"/>
        <item x="21"/>
        <item x="38"/>
        <item x="46"/>
        <item x="122"/>
        <item x="132"/>
        <item x="215"/>
        <item x="93"/>
        <item x="209"/>
        <item x="222"/>
        <item x="126"/>
        <item x="50"/>
        <item x="159"/>
        <item x="61"/>
        <item x="27"/>
        <item x="0"/>
        <item x="29"/>
        <item x="118"/>
        <item x="124"/>
        <item x="22"/>
        <item x="78"/>
        <item x="101"/>
        <item x="113"/>
        <item x="89"/>
        <item x="59"/>
        <item x="180"/>
        <item x="176"/>
        <item x="130"/>
        <item x="20"/>
        <item x="214"/>
        <item x="47"/>
        <item x="128"/>
        <item x="10"/>
        <item x="51"/>
        <item x="45"/>
        <item t="default"/>
      </items>
    </pivotField>
    <pivotField axis="axisRow" showAll="0">
      <items count="7">
        <item h="1" x="2"/>
        <item h="1" x="5"/>
        <item h="1" x="1"/>
        <item h="1" x="4"/>
        <item x="3"/>
        <item h="1" x="0"/>
        <item t="default"/>
      </items>
    </pivotField>
    <pivotField showAll="0">
      <items count="4">
        <item x="2"/>
        <item x="1"/>
        <item x="0"/>
        <item t="default"/>
      </items>
    </pivotField>
    <pivotField showAll="0"/>
    <pivotField numFmtId="165" showAll="0"/>
    <pivotField numFmtId="165" showAll="0"/>
    <pivotField dataField="1"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
    <i>
      <x v="4"/>
    </i>
    <i t="grand">
      <x/>
    </i>
  </rowItems>
  <colItems count="1">
    <i/>
  </colItems>
  <dataFields count="1">
    <dataField name="Sum of Total" fld="7" baseField="0" baseItem="0" numFmtId="165"/>
  </dataFields>
  <chartFormats count="16">
    <chartFormat chart="4"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2" count="1" selected="0">
            <x v="0"/>
          </reference>
        </references>
      </pivotArea>
    </chartFormat>
    <chartFormat chart="11" format="10">
      <pivotArea type="data" outline="0" fieldPosition="0">
        <references count="2">
          <reference field="4294967294" count="1" selected="0">
            <x v="0"/>
          </reference>
          <reference field="2" count="1" selected="0">
            <x v="1"/>
          </reference>
        </references>
      </pivotArea>
    </chartFormat>
    <chartFormat chart="11" format="11">
      <pivotArea type="data" outline="0" fieldPosition="0">
        <references count="2">
          <reference field="4294967294" count="1" selected="0">
            <x v="0"/>
          </reference>
          <reference field="2" count="1" selected="0">
            <x v="2"/>
          </reference>
        </references>
      </pivotArea>
    </chartFormat>
    <chartFormat chart="11" format="12">
      <pivotArea type="data" outline="0" fieldPosition="0">
        <references count="2">
          <reference field="4294967294" count="1" selected="0">
            <x v="0"/>
          </reference>
          <reference field="2" count="1" selected="0">
            <x v="3"/>
          </reference>
        </references>
      </pivotArea>
    </chartFormat>
    <chartFormat chart="11" format="13">
      <pivotArea type="data" outline="0" fieldPosition="0">
        <references count="2">
          <reference field="4294967294" count="1" selected="0">
            <x v="0"/>
          </reference>
          <reference field="2" count="1" selected="0">
            <x v="4"/>
          </reference>
        </references>
      </pivotArea>
    </chartFormat>
    <chartFormat chart="11" format="14">
      <pivotArea type="data" outline="0" fieldPosition="0">
        <references count="2">
          <reference field="4294967294" count="1" selected="0">
            <x v="0"/>
          </reference>
          <reference field="2" count="1" selected="0">
            <x v="5"/>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4" format="4">
      <pivotArea type="data" outline="0" fieldPosition="0">
        <references count="2">
          <reference field="4294967294" count="1" selected="0">
            <x v="0"/>
          </reference>
          <reference field="2" count="1" selected="0">
            <x v="3"/>
          </reference>
        </references>
      </pivotArea>
    </chartFormat>
    <chartFormat chart="4" format="5">
      <pivotArea type="data" outline="0" fieldPosition="0">
        <references count="2">
          <reference field="4294967294" count="1" selected="0">
            <x v="0"/>
          </reference>
          <reference field="2" count="1" selected="0">
            <x v="4"/>
          </reference>
        </references>
      </pivotArea>
    </chartFormat>
    <chartFormat chart="4" format="6">
      <pivotArea type="data" outline="0" fieldPosition="0">
        <references count="2">
          <reference field="4294967294" count="1" selected="0">
            <x v="0"/>
          </reference>
          <reference field="2" count="1" selected="0">
            <x v="5"/>
          </reference>
        </references>
      </pivotArea>
    </chartFormat>
    <chartFormat chart="15"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9BFA04-DD59-49BD-9B78-D542D8D3E87A}" name="PivotTable8"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32">
    <pivotField showAll="0"/>
    <pivotField numFmtId="164" showAll="0">
      <items count="229">
        <item x="175"/>
        <item x="25"/>
        <item x="7"/>
        <item x="79"/>
        <item x="83"/>
        <item x="49"/>
        <item x="68"/>
        <item x="17"/>
        <item x="44"/>
        <item x="167"/>
        <item x="144"/>
        <item x="149"/>
        <item x="54"/>
        <item x="174"/>
        <item x="8"/>
        <item x="127"/>
        <item x="177"/>
        <item x="16"/>
        <item x="110"/>
        <item x="70"/>
        <item x="55"/>
        <item x="119"/>
        <item x="90"/>
        <item x="156"/>
        <item x="77"/>
        <item x="1"/>
        <item x="33"/>
        <item x="11"/>
        <item x="57"/>
        <item x="84"/>
        <item x="42"/>
        <item x="133"/>
        <item x="91"/>
        <item x="208"/>
        <item x="213"/>
        <item x="150"/>
        <item x="14"/>
        <item x="53"/>
        <item x="92"/>
        <item x="184"/>
        <item x="206"/>
        <item x="99"/>
        <item x="186"/>
        <item x="162"/>
        <item x="204"/>
        <item x="28"/>
        <item x="223"/>
        <item x="225"/>
        <item x="227"/>
        <item x="96"/>
        <item x="191"/>
        <item x="111"/>
        <item x="170"/>
        <item x="74"/>
        <item x="178"/>
        <item x="188"/>
        <item x="194"/>
        <item x="3"/>
        <item x="199"/>
        <item x="81"/>
        <item x="139"/>
        <item x="107"/>
        <item x="135"/>
        <item x="136"/>
        <item x="105"/>
        <item x="112"/>
        <item x="221"/>
        <item x="31"/>
        <item x="172"/>
        <item x="82"/>
        <item x="43"/>
        <item x="58"/>
        <item x="94"/>
        <item x="207"/>
        <item x="103"/>
        <item x="218"/>
        <item x="216"/>
        <item x="120"/>
        <item x="142"/>
        <item x="182"/>
        <item x="26"/>
        <item x="18"/>
        <item x="212"/>
        <item x="217"/>
        <item x="62"/>
        <item x="72"/>
        <item x="125"/>
        <item x="165"/>
        <item x="87"/>
        <item x="117"/>
        <item x="143"/>
        <item x="211"/>
        <item x="2"/>
        <item x="48"/>
        <item x="196"/>
        <item x="102"/>
        <item x="224"/>
        <item x="85"/>
        <item x="24"/>
        <item x="88"/>
        <item x="114"/>
        <item x="190"/>
        <item x="13"/>
        <item x="201"/>
        <item x="80"/>
        <item x="108"/>
        <item x="39"/>
        <item x="197"/>
        <item x="123"/>
        <item x="116"/>
        <item x="160"/>
        <item x="141"/>
        <item x="202"/>
        <item x="35"/>
        <item x="100"/>
        <item x="220"/>
        <item x="138"/>
        <item x="140"/>
        <item x="19"/>
        <item x="153"/>
        <item x="76"/>
        <item x="183"/>
        <item x="75"/>
        <item x="41"/>
        <item x="169"/>
        <item x="219"/>
        <item x="185"/>
        <item x="86"/>
        <item x="23"/>
        <item x="64"/>
        <item x="106"/>
        <item x="5"/>
        <item x="71"/>
        <item x="131"/>
        <item x="60"/>
        <item x="56"/>
        <item x="36"/>
        <item x="151"/>
        <item x="205"/>
        <item x="157"/>
        <item x="203"/>
        <item x="148"/>
        <item x="146"/>
        <item x="187"/>
        <item x="161"/>
        <item x="115"/>
        <item x="32"/>
        <item x="40"/>
        <item x="66"/>
        <item x="9"/>
        <item x="65"/>
        <item x="129"/>
        <item x="73"/>
        <item x="104"/>
        <item x="189"/>
        <item x="63"/>
        <item x="52"/>
        <item x="198"/>
        <item x="98"/>
        <item x="163"/>
        <item x="34"/>
        <item x="152"/>
        <item x="195"/>
        <item x="145"/>
        <item x="95"/>
        <item x="158"/>
        <item x="166"/>
        <item x="171"/>
        <item x="168"/>
        <item x="179"/>
        <item x="147"/>
        <item x="164"/>
        <item x="210"/>
        <item x="154"/>
        <item x="155"/>
        <item x="173"/>
        <item x="137"/>
        <item x="181"/>
        <item x="69"/>
        <item x="226"/>
        <item x="4"/>
        <item x="134"/>
        <item x="12"/>
        <item x="6"/>
        <item x="200"/>
        <item x="67"/>
        <item x="192"/>
        <item x="109"/>
        <item x="121"/>
        <item x="30"/>
        <item x="193"/>
        <item x="37"/>
        <item x="15"/>
        <item x="97"/>
        <item x="21"/>
        <item x="38"/>
        <item x="46"/>
        <item x="122"/>
        <item x="132"/>
        <item x="215"/>
        <item x="93"/>
        <item x="209"/>
        <item x="222"/>
        <item x="126"/>
        <item x="50"/>
        <item x="159"/>
        <item x="61"/>
        <item x="27"/>
        <item x="0"/>
        <item x="29"/>
        <item x="118"/>
        <item x="124"/>
        <item x="22"/>
        <item x="78"/>
        <item x="101"/>
        <item x="113"/>
        <item x="89"/>
        <item x="59"/>
        <item x="180"/>
        <item x="176"/>
        <item x="130"/>
        <item x="20"/>
        <item x="214"/>
        <item x="47"/>
        <item x="128"/>
        <item x="10"/>
        <item x="51"/>
        <item x="45"/>
        <item t="default"/>
      </items>
    </pivotField>
    <pivotField showAll="0">
      <items count="7">
        <item h="1" x="2"/>
        <item h="1" x="5"/>
        <item h="1" x="1"/>
        <item h="1" x="4"/>
        <item x="3"/>
        <item h="1" x="0"/>
        <item t="default"/>
      </items>
    </pivotField>
    <pivotField axis="axisRow" showAll="0">
      <items count="4">
        <item x="2"/>
        <item x="1"/>
        <item x="0"/>
        <item t="default"/>
      </items>
    </pivotField>
    <pivotField showAll="0"/>
    <pivotField dataField="1"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Data_Usage_GB" fld="5" baseField="0" baseItem="0" numFmtId="165"/>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r_Type" xr10:uid="{53DF8361-E316-4000-A560-E4B554CAADAB}" sourceName="User_Type">
  <pivotTables>
    <pivotTable tabId="17" name="PivotTable8"/>
    <pivotTable tabId="17" name="PivotTable9"/>
    <pivotTable tabId="17" name="PivotTable1"/>
  </pivotTables>
  <data>
    <tabular pivotCacheId="93021930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24B50A-9313-4A74-A75C-E0E8F1D7549C}" sourceName="Region">
  <pivotTables>
    <pivotTable tabId="17" name="PivotTable8"/>
    <pivotTable tabId="17" name="PivotTable9"/>
    <pivotTable tabId="17" name="PivotTable1"/>
  </pivotTables>
  <data>
    <tabular pivotCacheId="930219307">
      <items count="6">
        <i x="2"/>
        <i x="5"/>
        <i x="1"/>
        <i x="4"/>
        <i x="3"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ge_Date" xr10:uid="{34F8BB90-5525-45FF-9BEE-523CB8E55A5E}" sourceName="Usage_Date">
  <pivotTables>
    <pivotTable tabId="18" name="PivotTable2"/>
  </pivotTables>
  <data>
    <tabular pivotCacheId="1747651824">
      <items count="228">
        <i x="175"/>
        <i x="25"/>
        <i x="7"/>
        <i x="79"/>
        <i x="83"/>
        <i x="49"/>
        <i x="68"/>
        <i x="17"/>
        <i x="44"/>
        <i x="167"/>
        <i x="144"/>
        <i x="149"/>
        <i x="54"/>
        <i x="174"/>
        <i x="8"/>
        <i x="127"/>
        <i x="177"/>
        <i x="16"/>
        <i x="110"/>
        <i x="70"/>
        <i x="55"/>
        <i x="119"/>
        <i x="90"/>
        <i x="156"/>
        <i x="77"/>
        <i x="1"/>
        <i x="33"/>
        <i x="11"/>
        <i x="57"/>
        <i x="84"/>
        <i x="42"/>
        <i x="133"/>
        <i x="91"/>
        <i x="208"/>
        <i x="213"/>
        <i x="150"/>
        <i x="14"/>
        <i x="53"/>
        <i x="92"/>
        <i x="184"/>
        <i x="206"/>
        <i x="99"/>
        <i x="186"/>
        <i x="162"/>
        <i x="204"/>
        <i x="28"/>
        <i x="223"/>
        <i x="225"/>
        <i x="227"/>
        <i x="96"/>
        <i x="191"/>
        <i x="111"/>
        <i x="170"/>
        <i x="74"/>
        <i x="178"/>
        <i x="188"/>
        <i x="194"/>
        <i x="3"/>
        <i x="199"/>
        <i x="81"/>
        <i x="139"/>
        <i x="107"/>
        <i x="135"/>
        <i x="136"/>
        <i x="105"/>
        <i x="112"/>
        <i x="221"/>
        <i x="31"/>
        <i x="172"/>
        <i x="82"/>
        <i x="43"/>
        <i x="58"/>
        <i x="94"/>
        <i x="207"/>
        <i x="103"/>
        <i x="218"/>
        <i x="216"/>
        <i x="120"/>
        <i x="142"/>
        <i x="182"/>
        <i x="26"/>
        <i x="18"/>
        <i x="212"/>
        <i x="217"/>
        <i x="62"/>
        <i x="72"/>
        <i x="125"/>
        <i x="165"/>
        <i x="87"/>
        <i x="117"/>
        <i x="143"/>
        <i x="211"/>
        <i x="2"/>
        <i x="48"/>
        <i x="196"/>
        <i x="102"/>
        <i x="224"/>
        <i x="85"/>
        <i x="24"/>
        <i x="88"/>
        <i x="114"/>
        <i x="190"/>
        <i x="13"/>
        <i x="201"/>
        <i x="80"/>
        <i x="108"/>
        <i x="39"/>
        <i x="197"/>
        <i x="123"/>
        <i x="116"/>
        <i x="160"/>
        <i x="141"/>
        <i x="202"/>
        <i x="35"/>
        <i x="100"/>
        <i x="220"/>
        <i x="138"/>
        <i x="140"/>
        <i x="19" s="1"/>
        <i x="153"/>
        <i x="76"/>
        <i x="183"/>
        <i x="75"/>
        <i x="41"/>
        <i x="169"/>
        <i x="219"/>
        <i x="185"/>
        <i x="86"/>
        <i x="23"/>
        <i x="64"/>
        <i x="106"/>
        <i x="5"/>
        <i x="71"/>
        <i x="131"/>
        <i x="60"/>
        <i x="56"/>
        <i x="36"/>
        <i x="151"/>
        <i x="205"/>
        <i x="157"/>
        <i x="203"/>
        <i x="148"/>
        <i x="146"/>
        <i x="187"/>
        <i x="161"/>
        <i x="115"/>
        <i x="32"/>
        <i x="40"/>
        <i x="66"/>
        <i x="9"/>
        <i x="65"/>
        <i x="129"/>
        <i x="73"/>
        <i x="104"/>
        <i x="189"/>
        <i x="63"/>
        <i x="52"/>
        <i x="198"/>
        <i x="98"/>
        <i x="163"/>
        <i x="34"/>
        <i x="152"/>
        <i x="195"/>
        <i x="145"/>
        <i x="95"/>
        <i x="158"/>
        <i x="166"/>
        <i x="171"/>
        <i x="168"/>
        <i x="179"/>
        <i x="147"/>
        <i x="164"/>
        <i x="210"/>
        <i x="154"/>
        <i x="155"/>
        <i x="173"/>
        <i x="137"/>
        <i x="181"/>
        <i x="69"/>
        <i x="226"/>
        <i x="4"/>
        <i x="134"/>
        <i x="12"/>
        <i x="6"/>
        <i x="200"/>
        <i x="67"/>
        <i x="192"/>
        <i x="109"/>
        <i x="121"/>
        <i x="30"/>
        <i x="193"/>
        <i x="37"/>
        <i x="15"/>
        <i x="97"/>
        <i x="21"/>
        <i x="38"/>
        <i x="46"/>
        <i x="122"/>
        <i x="132"/>
        <i x="215"/>
        <i x="93"/>
        <i x="209"/>
        <i x="222"/>
        <i x="126"/>
        <i x="50"/>
        <i x="159"/>
        <i x="61"/>
        <i x="27"/>
        <i x="0"/>
        <i x="29"/>
        <i x="118"/>
        <i x="124"/>
        <i x="22"/>
        <i x="78"/>
        <i x="101"/>
        <i x="113"/>
        <i x="89"/>
        <i x="59"/>
        <i x="180"/>
        <i x="176"/>
        <i x="130"/>
        <i x="20"/>
        <i x="214"/>
        <i x="47"/>
        <i x="128"/>
        <i x="10"/>
        <i x="51"/>
        <i x="4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ge_Date1" xr10:uid="{0A3E9B72-3818-4071-9D21-5ADB8DC82C76}" sourceName="Usage_Date">
  <pivotTables>
    <pivotTable tabId="17" name="PivotTable1"/>
  </pivotTables>
  <data>
    <tabular pivotCacheId="930219307">
      <items count="228">
        <i x="17" s="1"/>
        <i x="149" s="1"/>
        <i x="110" s="1"/>
        <i x="77" s="1"/>
        <i x="11" s="1"/>
        <i x="92" s="1"/>
        <i x="225" s="1"/>
        <i x="178" s="1"/>
        <i x="107" s="1"/>
        <i x="142" s="1"/>
        <i x="182" s="1"/>
        <i x="18" s="1"/>
        <i x="72" s="1"/>
        <i x="165" s="1"/>
        <i x="87" s="1"/>
        <i x="88" s="1"/>
        <i x="190" s="1"/>
        <i x="39" s="1"/>
        <i x="123" s="1"/>
        <i x="19" s="1"/>
        <i x="71" s="1"/>
        <i x="148" s="1"/>
        <i x="187" s="1"/>
        <i x="66" s="1"/>
        <i x="9" s="1"/>
        <i x="34" s="1"/>
        <i x="171" s="1"/>
        <i x="147" s="1"/>
        <i x="210" s="1"/>
        <i x="12" s="1"/>
        <i x="6" s="1"/>
        <i x="67" s="1"/>
        <i x="121" s="1"/>
        <i x="93" s="1"/>
        <i x="61" s="1"/>
        <i x="175" s="1" nd="1"/>
        <i x="25" s="1" nd="1"/>
        <i x="7" s="1" nd="1"/>
        <i x="79" s="1" nd="1"/>
        <i x="83" s="1" nd="1"/>
        <i x="49" s="1" nd="1"/>
        <i x="68" s="1" nd="1"/>
        <i x="44" s="1" nd="1"/>
        <i x="167" s="1" nd="1"/>
        <i x="144" s="1" nd="1"/>
        <i x="54" s="1" nd="1"/>
        <i x="174" s="1" nd="1"/>
        <i x="8" s="1" nd="1"/>
        <i x="127" s="1" nd="1"/>
        <i x="177" s="1" nd="1"/>
        <i x="16" s="1" nd="1"/>
        <i x="70" s="1" nd="1"/>
        <i x="55" s="1" nd="1"/>
        <i x="119" s="1" nd="1"/>
        <i x="90" s="1" nd="1"/>
        <i x="156" s="1" nd="1"/>
        <i x="1" s="1" nd="1"/>
        <i x="33" s="1" nd="1"/>
        <i x="57" s="1" nd="1"/>
        <i x="84" s="1" nd="1"/>
        <i x="42" s="1" nd="1"/>
        <i x="133" s="1" nd="1"/>
        <i x="91" s="1" nd="1"/>
        <i x="208" s="1" nd="1"/>
        <i x="213" s="1" nd="1"/>
        <i x="150" s="1" nd="1"/>
        <i x="14" s="1" nd="1"/>
        <i x="53" s="1" nd="1"/>
        <i x="184" s="1" nd="1"/>
        <i x="206" s="1" nd="1"/>
        <i x="99" s="1" nd="1"/>
        <i x="186" s="1" nd="1"/>
        <i x="162" s="1" nd="1"/>
        <i x="204" s="1" nd="1"/>
        <i x="28" s="1" nd="1"/>
        <i x="223" s="1" nd="1"/>
        <i x="227" s="1" nd="1"/>
        <i x="96" s="1" nd="1"/>
        <i x="191" s="1" nd="1"/>
        <i x="111" s="1" nd="1"/>
        <i x="170" s="1" nd="1"/>
        <i x="74" s="1" nd="1"/>
        <i x="188" s="1" nd="1"/>
        <i x="194" s="1" nd="1"/>
        <i x="3" s="1" nd="1"/>
        <i x="199" s="1" nd="1"/>
        <i x="81" s="1" nd="1"/>
        <i x="139" s="1" nd="1"/>
        <i x="135" s="1" nd="1"/>
        <i x="136" s="1" nd="1"/>
        <i x="105" s="1" nd="1"/>
        <i x="112" s="1" nd="1"/>
        <i x="221" s="1" nd="1"/>
        <i x="31" s="1" nd="1"/>
        <i x="172" s="1" nd="1"/>
        <i x="82" s="1" nd="1"/>
        <i x="43" s="1" nd="1"/>
        <i x="58" s="1" nd="1"/>
        <i x="94" s="1" nd="1"/>
        <i x="207" s="1" nd="1"/>
        <i x="103" s="1" nd="1"/>
        <i x="218" s="1" nd="1"/>
        <i x="216" s="1" nd="1"/>
        <i x="120" s="1" nd="1"/>
        <i x="26" s="1" nd="1"/>
        <i x="212" s="1" nd="1"/>
        <i x="217" s="1" nd="1"/>
        <i x="62" s="1" nd="1"/>
        <i x="125" s="1" nd="1"/>
        <i x="117" s="1" nd="1"/>
        <i x="143" s="1" nd="1"/>
        <i x="211" s="1" nd="1"/>
        <i x="2" s="1" nd="1"/>
        <i x="48" s="1" nd="1"/>
        <i x="196" s="1" nd="1"/>
        <i x="102" s="1" nd="1"/>
        <i x="224" s="1" nd="1"/>
        <i x="85" s="1" nd="1"/>
        <i x="24" s="1" nd="1"/>
        <i x="114" s="1" nd="1"/>
        <i x="13" s="1" nd="1"/>
        <i x="201" s="1" nd="1"/>
        <i x="80" s="1" nd="1"/>
        <i x="108" s="1" nd="1"/>
        <i x="197" s="1" nd="1"/>
        <i x="116" s="1" nd="1"/>
        <i x="160" s="1" nd="1"/>
        <i x="141" s="1" nd="1"/>
        <i x="202" s="1" nd="1"/>
        <i x="35" s="1" nd="1"/>
        <i x="100" s="1" nd="1"/>
        <i x="220" s="1" nd="1"/>
        <i x="138" s="1" nd="1"/>
        <i x="140" s="1" nd="1"/>
        <i x="153" s="1" nd="1"/>
        <i x="76" s="1" nd="1"/>
        <i x="183" s="1" nd="1"/>
        <i x="75" s="1" nd="1"/>
        <i x="41" s="1" nd="1"/>
        <i x="169" s="1" nd="1"/>
        <i x="219" s="1" nd="1"/>
        <i x="185" s="1" nd="1"/>
        <i x="86" s="1" nd="1"/>
        <i x="23" s="1" nd="1"/>
        <i x="64" s="1" nd="1"/>
        <i x="106" s="1" nd="1"/>
        <i x="5" s="1" nd="1"/>
        <i x="131" s="1" nd="1"/>
        <i x="60" s="1" nd="1"/>
        <i x="56" s="1" nd="1"/>
        <i x="36" s="1" nd="1"/>
        <i x="151" s="1" nd="1"/>
        <i x="205" s="1" nd="1"/>
        <i x="157" s="1" nd="1"/>
        <i x="203" s="1" nd="1"/>
        <i x="146" s="1" nd="1"/>
        <i x="161" s="1" nd="1"/>
        <i x="115" s="1" nd="1"/>
        <i x="32" s="1" nd="1"/>
        <i x="40" s="1" nd="1"/>
        <i x="65" s="1" nd="1"/>
        <i x="129" s="1" nd="1"/>
        <i x="73" s="1" nd="1"/>
        <i x="104" s="1" nd="1"/>
        <i x="189" s="1" nd="1"/>
        <i x="63" s="1" nd="1"/>
        <i x="52" s="1" nd="1"/>
        <i x="198" s="1" nd="1"/>
        <i x="98" s="1" nd="1"/>
        <i x="163" s="1" nd="1"/>
        <i x="152" s="1" nd="1"/>
        <i x="195" s="1" nd="1"/>
        <i x="145" s="1" nd="1"/>
        <i x="95" s="1" nd="1"/>
        <i x="158" s="1" nd="1"/>
        <i x="166" s="1" nd="1"/>
        <i x="168" s="1" nd="1"/>
        <i x="179" s="1" nd="1"/>
        <i x="164" s="1" nd="1"/>
        <i x="154" s="1" nd="1"/>
        <i x="155" s="1" nd="1"/>
        <i x="173" s="1" nd="1"/>
        <i x="137" s="1" nd="1"/>
        <i x="181" s="1" nd="1"/>
        <i x="69" s="1" nd="1"/>
        <i x="226" s="1" nd="1"/>
        <i x="4" s="1" nd="1"/>
        <i x="134" s="1" nd="1"/>
        <i x="200" s="1" nd="1"/>
        <i x="192" s="1" nd="1"/>
        <i x="109" s="1" nd="1"/>
        <i x="30" s="1" nd="1"/>
        <i x="193" s="1" nd="1"/>
        <i x="37" s="1" nd="1"/>
        <i x="15" s="1" nd="1"/>
        <i x="97" s="1" nd="1"/>
        <i x="21" s="1" nd="1"/>
        <i x="38" s="1" nd="1"/>
        <i x="46" s="1" nd="1"/>
        <i x="122" s="1" nd="1"/>
        <i x="132" s="1" nd="1"/>
        <i x="215" s="1" nd="1"/>
        <i x="209" s="1" nd="1"/>
        <i x="222" s="1" nd="1"/>
        <i x="126" s="1" nd="1"/>
        <i x="50" s="1" nd="1"/>
        <i x="159" s="1" nd="1"/>
        <i x="27" s="1" nd="1"/>
        <i x="0" s="1" nd="1"/>
        <i x="29" s="1" nd="1"/>
        <i x="118" s="1" nd="1"/>
        <i x="124" s="1" nd="1"/>
        <i x="22" s="1" nd="1"/>
        <i x="78" s="1" nd="1"/>
        <i x="101" s="1" nd="1"/>
        <i x="113" s="1" nd="1"/>
        <i x="89" s="1" nd="1"/>
        <i x="59" s="1" nd="1"/>
        <i x="180" s="1" nd="1"/>
        <i x="176" s="1" nd="1"/>
        <i x="130" s="1" nd="1"/>
        <i x="20" s="1" nd="1"/>
        <i x="214" s="1" nd="1"/>
        <i x="47" s="1" nd="1"/>
        <i x="128" s="1" nd="1"/>
        <i x="10" s="1" nd="1"/>
        <i x="51" s="1" nd="1"/>
        <i x="4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age_Date" xr10:uid="{5B6B355B-8BD1-4906-9E1F-4103F137A493}" cache="Slicer_Usage_Date" caption="Usage_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Type" xr10:uid="{A0AF44DC-2A30-4690-A453-11BFF5B2B09D}" cache="Slicer_User_Type" caption="User_Type" rowHeight="241300"/>
  <slicer name="Region" xr10:uid="{FF44B1D2-7464-4E8E-9B8E-8A1B266C056A}" cache="Slicer_Region" caption="Region" rowHeight="241300"/>
  <slicer name="Usage_Date 6" xr10:uid="{9A3D0CB0-93B6-4D47-9151-32C05C8CF4CA}" cache="Slicer_Usage_Date1" caption="Usage_Dat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ser_Type 1" xr10:uid="{E239AFF3-3224-4DB2-80F1-1813FC7F6356}" cache="Slicer_User_Type" caption="User_Type" rowHeight="241300"/>
  <slicer name="Region 1" xr10:uid="{7F29D446-536B-45C4-8B37-087B16CB92F9}" cache="Slicer_Region" caption="Region" rowHeight="241300"/>
  <slicer name="Usage_Date 1" xr10:uid="{BA7EBF78-F7CB-4555-89FC-A73C9CDAC2E4}" cache="Slicer_Usage_Date" caption="Usage_Date" rowHeight="241300"/>
  <slicer name="Usage_Date 2" xr10:uid="{5D9FD04C-F45E-4A62-A3CE-E4B7CC58358D}" cache="Slicer_Usage_Date" caption="Usage_Date" rowHeight="241300"/>
  <slicer name="Usage_Date 3" xr10:uid="{C003C102-EBDD-4DC0-9A8B-569ED56E5EDB}" cache="Slicer_Usage_Date" caption="Usage_Date" rowHeight="241300"/>
  <slicer name="Usage_Date 4" xr10:uid="{ED44A572-B643-453A-83F4-B1BC1BD383AF}" cache="Slicer_Usage_Date" caption="Usage_Date" rowHeight="241300"/>
  <slicer name="Usage_Date 8" xr10:uid="{BB301FC7-BC26-4A1B-BF75-79356F876BEF}" cache="Slicer_Usage_Date1" caption="Usage_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6176E-6641-4806-90EE-D20283C3AA1A}">
  <dimension ref="A3:B5"/>
  <sheetViews>
    <sheetView workbookViewId="0">
      <selection activeCell="C13" sqref="C13"/>
    </sheetView>
  </sheetViews>
  <sheetFormatPr defaultRowHeight="14.5"/>
  <cols>
    <col min="1" max="1" width="12.36328125" bestFit="1" customWidth="1"/>
    <col min="2" max="2" width="20.6328125" bestFit="1" customWidth="1"/>
  </cols>
  <sheetData>
    <row r="3" spans="1:2">
      <c r="A3" s="9" t="s">
        <v>359</v>
      </c>
      <c r="B3" t="s">
        <v>361</v>
      </c>
    </row>
    <row r="4" spans="1:2">
      <c r="A4" s="10" t="s">
        <v>379</v>
      </c>
      <c r="B4" s="4">
        <v>49.35</v>
      </c>
    </row>
    <row r="5" spans="1:2">
      <c r="A5" s="10" t="s">
        <v>360</v>
      </c>
      <c r="B5" s="4">
        <v>49.35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B49E8-4388-4A9E-AD89-DE399985A66C}">
  <dimension ref="A1:G301"/>
  <sheetViews>
    <sheetView workbookViewId="0">
      <selection activeCell="F34" sqref="F34"/>
    </sheetView>
  </sheetViews>
  <sheetFormatPr defaultRowHeight="14.5"/>
  <cols>
    <col min="1" max="1" width="13.6328125" customWidth="1"/>
    <col min="2" max="2" width="17.6328125" customWidth="1"/>
    <col min="3" max="3" width="13.6328125" customWidth="1"/>
    <col min="4" max="4" width="13.90625" customWidth="1"/>
    <col min="5" max="5" width="14.7265625" customWidth="1"/>
    <col min="6" max="6" width="22" customWidth="1"/>
    <col min="7" max="7" width="8.7265625" customWidth="1"/>
  </cols>
  <sheetData>
    <row r="1" spans="1:7">
      <c r="A1" s="2" t="s">
        <v>0</v>
      </c>
      <c r="B1" s="2" t="s">
        <v>1</v>
      </c>
      <c r="C1" s="2" t="s">
        <v>2</v>
      </c>
      <c r="D1" s="2" t="s">
        <v>222</v>
      </c>
      <c r="E1" s="2" t="s">
        <v>223</v>
      </c>
      <c r="F1" s="2" t="s">
        <v>3</v>
      </c>
      <c r="G1" s="2" t="s">
        <v>4</v>
      </c>
    </row>
    <row r="2" spans="1:7">
      <c r="A2" t="s">
        <v>204</v>
      </c>
      <c r="B2" s="3"/>
      <c r="C2" t="s">
        <v>5</v>
      </c>
      <c r="D2" t="s">
        <v>224</v>
      </c>
      <c r="E2" t="s">
        <v>6</v>
      </c>
      <c r="F2" s="4">
        <v>48.37</v>
      </c>
      <c r="G2" s="4">
        <v>3.55</v>
      </c>
    </row>
    <row r="3" spans="1:7">
      <c r="A3" t="s">
        <v>225</v>
      </c>
      <c r="B3" s="3">
        <v>46188</v>
      </c>
      <c r="C3" t="s">
        <v>7</v>
      </c>
      <c r="D3" t="s">
        <v>226</v>
      </c>
      <c r="F3" s="4">
        <v>19.05</v>
      </c>
      <c r="G3" s="4">
        <v>0.64</v>
      </c>
    </row>
    <row r="4" spans="1:7">
      <c r="A4" t="s">
        <v>227</v>
      </c>
      <c r="B4" s="3">
        <v>45720</v>
      </c>
      <c r="D4" t="s">
        <v>226</v>
      </c>
      <c r="E4" t="s">
        <v>8</v>
      </c>
      <c r="F4" s="4">
        <v>7.95</v>
      </c>
      <c r="G4" s="4">
        <v>2.09</v>
      </c>
    </row>
    <row r="5" spans="1:7">
      <c r="A5" t="s">
        <v>228</v>
      </c>
      <c r="B5" s="3">
        <v>45903</v>
      </c>
      <c r="C5" t="s">
        <v>9</v>
      </c>
      <c r="D5" t="s">
        <v>226</v>
      </c>
      <c r="E5" t="s">
        <v>6</v>
      </c>
      <c r="F5" s="4">
        <v>78.87</v>
      </c>
      <c r="G5" s="4">
        <v>6.97</v>
      </c>
    </row>
    <row r="6" spans="1:7">
      <c r="A6" t="s">
        <v>10</v>
      </c>
      <c r="B6" s="3">
        <v>45796</v>
      </c>
      <c r="C6" t="s">
        <v>5</v>
      </c>
      <c r="D6" t="s">
        <v>226</v>
      </c>
      <c r="E6" t="s">
        <v>6</v>
      </c>
      <c r="F6" s="4">
        <v>49.49</v>
      </c>
      <c r="G6" s="4">
        <v>12.76</v>
      </c>
    </row>
    <row r="7" spans="1:7">
      <c r="A7" t="s">
        <v>11</v>
      </c>
      <c r="B7" s="3">
        <v>46125</v>
      </c>
      <c r="C7" t="s">
        <v>5</v>
      </c>
      <c r="D7" t="s">
        <v>226</v>
      </c>
      <c r="E7" t="s">
        <v>12</v>
      </c>
      <c r="F7" s="4">
        <v>43.44</v>
      </c>
      <c r="G7" s="4">
        <v>7.37</v>
      </c>
    </row>
    <row r="8" spans="1:7">
      <c r="A8" t="s">
        <v>13</v>
      </c>
      <c r="B8" s="3">
        <v>45997</v>
      </c>
      <c r="C8" t="s">
        <v>9</v>
      </c>
      <c r="D8" t="s">
        <v>6</v>
      </c>
      <c r="E8" t="s">
        <v>6</v>
      </c>
      <c r="F8" s="4">
        <v>69.59</v>
      </c>
      <c r="G8" s="4">
        <v>7.05</v>
      </c>
    </row>
    <row r="9" spans="1:7">
      <c r="B9" s="3">
        <v>46134</v>
      </c>
      <c r="C9" t="s">
        <v>14</v>
      </c>
      <c r="D9" t="s">
        <v>226</v>
      </c>
      <c r="E9" t="s">
        <v>15</v>
      </c>
      <c r="F9" s="4">
        <v>12.72</v>
      </c>
      <c r="G9" s="4">
        <v>7.49</v>
      </c>
    </row>
    <row r="10" spans="1:7">
      <c r="A10" t="s">
        <v>16</v>
      </c>
      <c r="B10" s="3">
        <v>45660</v>
      </c>
      <c r="C10" t="s">
        <v>5</v>
      </c>
      <c r="D10" t="s">
        <v>226</v>
      </c>
      <c r="E10" t="s">
        <v>12</v>
      </c>
      <c r="F10" s="4">
        <v>47.49</v>
      </c>
      <c r="G10" s="4">
        <v>4.2</v>
      </c>
    </row>
    <row r="11" spans="1:7">
      <c r="A11" t="s">
        <v>17</v>
      </c>
      <c r="B11" s="3">
        <v>45697</v>
      </c>
      <c r="C11" t="s">
        <v>7</v>
      </c>
      <c r="D11" t="s">
        <v>226</v>
      </c>
      <c r="E11" t="s">
        <v>12</v>
      </c>
      <c r="F11" s="4">
        <v>14.99</v>
      </c>
      <c r="G11" s="4">
        <v>3.97</v>
      </c>
    </row>
    <row r="12" spans="1:7">
      <c r="A12" t="s">
        <v>18</v>
      </c>
      <c r="B12" s="3">
        <v>46035</v>
      </c>
      <c r="C12" t="s">
        <v>19</v>
      </c>
      <c r="D12" t="s">
        <v>226</v>
      </c>
      <c r="E12" t="s">
        <v>8</v>
      </c>
      <c r="F12" s="4">
        <v>8.7100000000000009</v>
      </c>
      <c r="G12" s="4">
        <v>4.3</v>
      </c>
    </row>
    <row r="13" spans="1:7">
      <c r="A13" t="s">
        <v>20</v>
      </c>
      <c r="B13" s="3">
        <v>46227</v>
      </c>
      <c r="C13" t="s">
        <v>21</v>
      </c>
      <c r="D13" t="s">
        <v>6</v>
      </c>
      <c r="E13" t="s">
        <v>12</v>
      </c>
      <c r="F13" s="4">
        <v>20.58</v>
      </c>
      <c r="G13" s="4">
        <v>4.5199999999999996</v>
      </c>
    </row>
    <row r="14" spans="1:7">
      <c r="A14" t="s">
        <v>229</v>
      </c>
      <c r="B14" s="3">
        <v>45724</v>
      </c>
      <c r="C14" t="s">
        <v>19</v>
      </c>
      <c r="E14" t="s">
        <v>8</v>
      </c>
      <c r="F14" s="4">
        <v>3.76</v>
      </c>
      <c r="G14" s="4">
        <v>2.4300000000000002</v>
      </c>
    </row>
    <row r="15" spans="1:7">
      <c r="A15" t="s">
        <v>22</v>
      </c>
      <c r="B15" s="3">
        <v>46132</v>
      </c>
      <c r="C15" t="s">
        <v>14</v>
      </c>
      <c r="D15" t="s">
        <v>226</v>
      </c>
      <c r="E15" t="s">
        <v>6</v>
      </c>
      <c r="F15" s="4" t="s">
        <v>230</v>
      </c>
      <c r="G15" s="4">
        <v>8.3800000000000008</v>
      </c>
    </row>
    <row r="16" spans="1:7">
      <c r="A16" t="s">
        <v>23</v>
      </c>
      <c r="B16" s="3">
        <v>45929</v>
      </c>
      <c r="C16" t="s">
        <v>5</v>
      </c>
      <c r="D16" t="s">
        <v>226</v>
      </c>
      <c r="E16" t="s">
        <v>8</v>
      </c>
      <c r="F16" s="4">
        <v>21.81</v>
      </c>
      <c r="G16" s="4">
        <v>3.72</v>
      </c>
    </row>
    <row r="17" spans="1:7">
      <c r="B17" s="3">
        <v>45741</v>
      </c>
      <c r="C17" t="s">
        <v>21</v>
      </c>
      <c r="D17" t="s">
        <v>224</v>
      </c>
      <c r="E17" t="s">
        <v>8</v>
      </c>
      <c r="F17" s="4">
        <v>5.12</v>
      </c>
      <c r="G17" s="4">
        <v>2.64</v>
      </c>
    </row>
    <row r="18" spans="1:7">
      <c r="A18" t="s">
        <v>231</v>
      </c>
      <c r="B18" s="3">
        <v>46154</v>
      </c>
      <c r="D18" t="s">
        <v>224</v>
      </c>
      <c r="E18" t="s">
        <v>8</v>
      </c>
      <c r="F18" s="4">
        <v>22.72</v>
      </c>
      <c r="G18" s="4">
        <v>2.11</v>
      </c>
    </row>
    <row r="19" spans="1:7">
      <c r="A19" t="s">
        <v>24</v>
      </c>
      <c r="B19" s="3">
        <v>45703</v>
      </c>
      <c r="C19" t="s">
        <v>19</v>
      </c>
      <c r="D19" t="s">
        <v>226</v>
      </c>
      <c r="E19" t="s">
        <v>12</v>
      </c>
      <c r="F19" s="4">
        <v>32.450000000000003</v>
      </c>
      <c r="G19" s="4">
        <v>5.43</v>
      </c>
    </row>
    <row r="20" spans="1:7">
      <c r="A20" t="s">
        <v>25</v>
      </c>
      <c r="B20" s="3">
        <v>45669</v>
      </c>
      <c r="C20" t="s">
        <v>5</v>
      </c>
      <c r="D20" t="s">
        <v>226</v>
      </c>
      <c r="E20" t="s">
        <v>15</v>
      </c>
      <c r="F20" s="4">
        <v>45.51</v>
      </c>
      <c r="G20" s="4">
        <v>11.19</v>
      </c>
    </row>
    <row r="21" spans="1:7">
      <c r="A21" t="s">
        <v>26</v>
      </c>
      <c r="B21" s="3">
        <v>45870</v>
      </c>
      <c r="C21" t="s">
        <v>19</v>
      </c>
      <c r="D21" t="s">
        <v>226</v>
      </c>
      <c r="E21" t="s">
        <v>8</v>
      </c>
      <c r="F21" s="4">
        <v>26.05</v>
      </c>
      <c r="G21" s="4">
        <v>1.82</v>
      </c>
    </row>
    <row r="22" spans="1:7">
      <c r="A22" t="s">
        <v>232</v>
      </c>
      <c r="B22" s="3">
        <v>45966</v>
      </c>
      <c r="D22" t="s">
        <v>226</v>
      </c>
      <c r="E22" t="s">
        <v>8</v>
      </c>
      <c r="F22" s="4">
        <v>2.92</v>
      </c>
      <c r="G22" s="4">
        <v>2.95</v>
      </c>
    </row>
    <row r="23" spans="1:7">
      <c r="B23" s="3">
        <v>46219</v>
      </c>
      <c r="C23" t="s">
        <v>14</v>
      </c>
      <c r="D23" t="s">
        <v>6</v>
      </c>
      <c r="E23" t="s">
        <v>15</v>
      </c>
      <c r="F23" s="4">
        <v>7.98</v>
      </c>
      <c r="G23" s="4">
        <v>0.82</v>
      </c>
    </row>
    <row r="24" spans="1:7">
      <c r="B24" s="3">
        <v>46158</v>
      </c>
      <c r="C24" t="s">
        <v>14</v>
      </c>
      <c r="D24" t="s">
        <v>226</v>
      </c>
      <c r="E24" t="s">
        <v>15</v>
      </c>
      <c r="F24" s="4">
        <v>59.1</v>
      </c>
      <c r="G24" s="4">
        <v>4.6399999999999997</v>
      </c>
    </row>
    <row r="25" spans="1:7">
      <c r="A25" t="s">
        <v>233</v>
      </c>
      <c r="B25" s="3">
        <v>46196</v>
      </c>
      <c r="C25" t="s">
        <v>5</v>
      </c>
      <c r="D25" t="s">
        <v>6</v>
      </c>
      <c r="E25" t="s">
        <v>6</v>
      </c>
      <c r="F25" s="4">
        <v>45.55</v>
      </c>
      <c r="G25" s="4"/>
    </row>
    <row r="26" spans="1:7">
      <c r="A26" t="s">
        <v>27</v>
      </c>
      <c r="B26" s="3">
        <v>45989</v>
      </c>
      <c r="C26" t="s">
        <v>19</v>
      </c>
      <c r="D26" t="s">
        <v>224</v>
      </c>
      <c r="E26" t="s">
        <v>15</v>
      </c>
      <c r="F26" s="4">
        <v>60.66</v>
      </c>
      <c r="G26" s="4">
        <v>11.72</v>
      </c>
    </row>
    <row r="27" spans="1:7">
      <c r="A27" t="s">
        <v>28</v>
      </c>
      <c r="B27" s="3">
        <v>45919</v>
      </c>
      <c r="C27" t="s">
        <v>5</v>
      </c>
      <c r="D27" t="s">
        <v>224</v>
      </c>
      <c r="E27" t="s">
        <v>12</v>
      </c>
      <c r="F27" s="4">
        <v>32.44</v>
      </c>
      <c r="G27" s="4">
        <v>7.84</v>
      </c>
    </row>
    <row r="28" spans="1:7">
      <c r="A28" t="s">
        <v>29</v>
      </c>
      <c r="B28" s="3">
        <v>45659</v>
      </c>
      <c r="C28" t="s">
        <v>21</v>
      </c>
      <c r="D28" t="s">
        <v>224</v>
      </c>
      <c r="E28" t="s">
        <v>12</v>
      </c>
      <c r="F28" s="4">
        <v>43.16</v>
      </c>
      <c r="G28" s="4">
        <v>8.06</v>
      </c>
    </row>
    <row r="29" spans="1:7">
      <c r="A29" t="s">
        <v>234</v>
      </c>
      <c r="B29" s="3">
        <v>45864</v>
      </c>
      <c r="C29" t="s">
        <v>5</v>
      </c>
      <c r="E29" t="s">
        <v>8</v>
      </c>
      <c r="F29" s="4">
        <v>7.23</v>
      </c>
      <c r="G29" s="4">
        <v>2.48</v>
      </c>
    </row>
    <row r="30" spans="1:7">
      <c r="A30" t="s">
        <v>30</v>
      </c>
      <c r="B30" s="3">
        <v>46185</v>
      </c>
      <c r="C30" t="s">
        <v>19</v>
      </c>
      <c r="D30" t="s">
        <v>226</v>
      </c>
      <c r="E30" t="s">
        <v>8</v>
      </c>
      <c r="F30" s="4">
        <v>3.05</v>
      </c>
      <c r="G30" s="4">
        <v>4.47</v>
      </c>
    </row>
    <row r="31" spans="1:7">
      <c r="A31" t="s">
        <v>31</v>
      </c>
      <c r="B31" s="3">
        <v>45796</v>
      </c>
      <c r="C31" t="s">
        <v>5</v>
      </c>
      <c r="D31" t="s">
        <v>226</v>
      </c>
      <c r="E31" t="s">
        <v>8</v>
      </c>
      <c r="F31" s="4">
        <v>9</v>
      </c>
      <c r="G31" s="4">
        <v>4.53</v>
      </c>
    </row>
    <row r="32" spans="1:7">
      <c r="A32" t="s">
        <v>32</v>
      </c>
      <c r="B32" s="3">
        <v>45759</v>
      </c>
      <c r="C32" t="s">
        <v>5</v>
      </c>
      <c r="D32" t="s">
        <v>224</v>
      </c>
      <c r="E32" t="s">
        <v>12</v>
      </c>
      <c r="F32" s="4">
        <v>42.89</v>
      </c>
      <c r="G32" s="4">
        <v>7.83</v>
      </c>
    </row>
    <row r="33" spans="1:7">
      <c r="A33" t="s">
        <v>235</v>
      </c>
      <c r="B33" s="3">
        <v>45919</v>
      </c>
      <c r="C33" t="s">
        <v>5</v>
      </c>
      <c r="E33" t="s">
        <v>15</v>
      </c>
      <c r="F33" s="4">
        <v>27.07</v>
      </c>
      <c r="G33" s="4">
        <v>4.78</v>
      </c>
    </row>
    <row r="34" spans="1:7">
      <c r="A34" t="s">
        <v>33</v>
      </c>
      <c r="B34" s="3">
        <v>46191</v>
      </c>
      <c r="C34" t="s">
        <v>19</v>
      </c>
      <c r="D34" t="s">
        <v>226</v>
      </c>
      <c r="E34" t="s">
        <v>12</v>
      </c>
      <c r="F34" s="4">
        <v>19.510000000000002</v>
      </c>
      <c r="G34" s="4">
        <v>2.6</v>
      </c>
    </row>
    <row r="35" spans="1:7">
      <c r="A35" t="s">
        <v>236</v>
      </c>
      <c r="B35" s="3">
        <v>46145</v>
      </c>
      <c r="C35" t="s">
        <v>237</v>
      </c>
      <c r="E35" t="s">
        <v>12</v>
      </c>
      <c r="F35" s="4">
        <v>24.41</v>
      </c>
      <c r="G35" s="4">
        <v>2.23</v>
      </c>
    </row>
    <row r="36" spans="1:7">
      <c r="A36" t="s">
        <v>34</v>
      </c>
      <c r="B36" s="3">
        <v>45828</v>
      </c>
      <c r="C36" t="s">
        <v>5</v>
      </c>
      <c r="D36" t="s">
        <v>224</v>
      </c>
      <c r="E36" t="s">
        <v>12</v>
      </c>
      <c r="F36" s="4">
        <v>20</v>
      </c>
      <c r="G36" s="4">
        <v>3.37</v>
      </c>
    </row>
    <row r="37" spans="1:7">
      <c r="A37" t="s">
        <v>238</v>
      </c>
      <c r="B37" s="3">
        <v>46024</v>
      </c>
      <c r="C37" t="s">
        <v>9</v>
      </c>
      <c r="D37" t="s">
        <v>6</v>
      </c>
      <c r="E37" t="s">
        <v>15</v>
      </c>
      <c r="F37" s="4"/>
      <c r="G37" s="4">
        <v>11.33</v>
      </c>
    </row>
    <row r="38" spans="1:7">
      <c r="A38" t="s">
        <v>35</v>
      </c>
      <c r="B38" s="3">
        <v>45722</v>
      </c>
      <c r="C38" t="s">
        <v>5</v>
      </c>
      <c r="D38" t="s">
        <v>6</v>
      </c>
      <c r="E38" t="s">
        <v>8</v>
      </c>
      <c r="F38" s="4">
        <v>18.079999999999998</v>
      </c>
      <c r="G38" s="4">
        <v>1.41</v>
      </c>
    </row>
    <row r="39" spans="1:7">
      <c r="B39" s="3">
        <v>46059</v>
      </c>
      <c r="C39" t="s">
        <v>21</v>
      </c>
      <c r="D39" t="s">
        <v>226</v>
      </c>
      <c r="E39" t="s">
        <v>8</v>
      </c>
      <c r="F39" s="4">
        <v>9.57</v>
      </c>
      <c r="G39" s="4">
        <v>1.99</v>
      </c>
    </row>
    <row r="40" spans="1:7">
      <c r="A40" t="s">
        <v>36</v>
      </c>
      <c r="B40" s="3">
        <v>45958</v>
      </c>
      <c r="C40" t="s">
        <v>19</v>
      </c>
      <c r="D40" t="s">
        <v>226</v>
      </c>
      <c r="E40" t="s">
        <v>15</v>
      </c>
      <c r="F40" s="4">
        <v>40.69</v>
      </c>
      <c r="G40" s="4">
        <v>6.45</v>
      </c>
    </row>
    <row r="41" spans="1:7">
      <c r="A41" t="s">
        <v>239</v>
      </c>
      <c r="B41" s="3">
        <v>46002</v>
      </c>
      <c r="D41" t="s">
        <v>226</v>
      </c>
      <c r="E41" t="s">
        <v>15</v>
      </c>
      <c r="F41" s="4">
        <v>39</v>
      </c>
      <c r="G41" s="4">
        <v>7.8</v>
      </c>
    </row>
    <row r="42" spans="1:7">
      <c r="A42" t="s">
        <v>37</v>
      </c>
      <c r="B42" s="3">
        <v>46153</v>
      </c>
      <c r="C42" t="s">
        <v>14</v>
      </c>
      <c r="D42" t="s">
        <v>6</v>
      </c>
      <c r="E42" t="s">
        <v>12</v>
      </c>
      <c r="F42" s="4">
        <v>22.68</v>
      </c>
      <c r="G42" s="4">
        <v>7.07</v>
      </c>
    </row>
    <row r="43" spans="1:7">
      <c r="B43" s="3">
        <v>46160</v>
      </c>
      <c r="C43" t="s">
        <v>5</v>
      </c>
      <c r="D43" t="s">
        <v>226</v>
      </c>
      <c r="E43" t="s">
        <v>12</v>
      </c>
      <c r="F43" s="4">
        <v>20.91</v>
      </c>
      <c r="G43" s="4">
        <v>6.63</v>
      </c>
    </row>
    <row r="44" spans="1:7">
      <c r="A44" t="s">
        <v>38</v>
      </c>
      <c r="B44" s="3">
        <v>46196</v>
      </c>
      <c r="C44" t="s">
        <v>21</v>
      </c>
      <c r="D44" t="s">
        <v>226</v>
      </c>
      <c r="E44" t="s">
        <v>15</v>
      </c>
      <c r="F44" s="4">
        <v>32.380000000000003</v>
      </c>
      <c r="G44" s="4">
        <v>8.66</v>
      </c>
    </row>
    <row r="45" spans="1:7">
      <c r="A45" t="s">
        <v>39</v>
      </c>
      <c r="B45" s="3">
        <v>45943</v>
      </c>
      <c r="C45" t="s">
        <v>9</v>
      </c>
      <c r="D45" t="s">
        <v>224</v>
      </c>
      <c r="E45" t="s">
        <v>15</v>
      </c>
      <c r="F45" s="4">
        <v>4.96</v>
      </c>
      <c r="G45" s="4">
        <v>9.59</v>
      </c>
    </row>
    <row r="46" spans="1:7">
      <c r="A46" t="s">
        <v>40</v>
      </c>
      <c r="B46" s="3">
        <v>46025</v>
      </c>
      <c r="C46" t="s">
        <v>5</v>
      </c>
      <c r="D46" t="s">
        <v>6</v>
      </c>
      <c r="E46" t="s">
        <v>12</v>
      </c>
      <c r="F46" s="4">
        <v>4.28</v>
      </c>
      <c r="G46" s="4">
        <v>1.94</v>
      </c>
    </row>
    <row r="47" spans="1:7">
      <c r="A47" t="s">
        <v>31</v>
      </c>
      <c r="B47" s="3">
        <v>45796</v>
      </c>
      <c r="C47" t="s">
        <v>5</v>
      </c>
      <c r="D47" t="s">
        <v>226</v>
      </c>
      <c r="E47" t="s">
        <v>8</v>
      </c>
      <c r="F47" s="4">
        <v>9</v>
      </c>
      <c r="G47" s="4">
        <v>4.53</v>
      </c>
    </row>
    <row r="48" spans="1:7">
      <c r="A48" t="s">
        <v>41</v>
      </c>
      <c r="B48" s="3">
        <v>45978</v>
      </c>
      <c r="C48" t="s">
        <v>14</v>
      </c>
      <c r="D48" t="s">
        <v>226</v>
      </c>
      <c r="E48" t="s">
        <v>15</v>
      </c>
      <c r="F48" s="4">
        <v>30.37</v>
      </c>
      <c r="G48" s="4">
        <v>11.58</v>
      </c>
    </row>
    <row r="49" spans="1:7">
      <c r="A49" t="s">
        <v>240</v>
      </c>
      <c r="B49" s="3">
        <v>45731</v>
      </c>
      <c r="C49" t="s">
        <v>7</v>
      </c>
      <c r="D49" t="s">
        <v>226</v>
      </c>
      <c r="F49" s="4">
        <v>33.47</v>
      </c>
      <c r="G49" s="4">
        <v>2.89</v>
      </c>
    </row>
    <row r="50" spans="1:7">
      <c r="A50" t="s">
        <v>241</v>
      </c>
      <c r="B50" s="3"/>
      <c r="C50" t="s">
        <v>5</v>
      </c>
      <c r="D50" t="s">
        <v>226</v>
      </c>
      <c r="E50" t="s">
        <v>8</v>
      </c>
      <c r="F50" s="4">
        <v>19.7</v>
      </c>
      <c r="G50" s="4">
        <v>3.51</v>
      </c>
    </row>
    <row r="51" spans="1:7">
      <c r="A51" t="s">
        <v>42</v>
      </c>
      <c r="B51" s="3">
        <v>45838</v>
      </c>
      <c r="C51" t="s">
        <v>5</v>
      </c>
      <c r="D51" t="s">
        <v>226</v>
      </c>
      <c r="E51" t="s">
        <v>12</v>
      </c>
      <c r="F51" s="4">
        <v>32.46</v>
      </c>
      <c r="G51" s="4">
        <v>4.54</v>
      </c>
    </row>
    <row r="52" spans="1:7">
      <c r="A52" t="s">
        <v>43</v>
      </c>
      <c r="B52" s="3">
        <v>45670</v>
      </c>
      <c r="C52" t="s">
        <v>5</v>
      </c>
      <c r="D52" t="s">
        <v>6</v>
      </c>
      <c r="E52" t="s">
        <v>15</v>
      </c>
      <c r="F52" s="4">
        <v>6.46</v>
      </c>
      <c r="G52" s="4">
        <v>12.44</v>
      </c>
    </row>
    <row r="53" spans="1:7">
      <c r="A53" t="s">
        <v>242</v>
      </c>
      <c r="B53" s="3"/>
      <c r="C53" t="s">
        <v>19</v>
      </c>
      <c r="D53" t="s">
        <v>226</v>
      </c>
      <c r="E53" t="s">
        <v>8</v>
      </c>
      <c r="F53" s="4">
        <v>9.48</v>
      </c>
      <c r="G53" s="4">
        <v>2.69</v>
      </c>
    </row>
    <row r="54" spans="1:7">
      <c r="A54" t="s">
        <v>44</v>
      </c>
      <c r="B54" s="3">
        <v>46229</v>
      </c>
      <c r="C54" t="s">
        <v>9</v>
      </c>
      <c r="D54" t="s">
        <v>6</v>
      </c>
      <c r="E54" t="s">
        <v>15</v>
      </c>
      <c r="F54" s="4">
        <v>12.02</v>
      </c>
      <c r="G54" s="4">
        <v>6.68</v>
      </c>
    </row>
    <row r="55" spans="1:7">
      <c r="A55" t="s">
        <v>45</v>
      </c>
      <c r="B55" s="3">
        <v>46162</v>
      </c>
      <c r="C55" t="s">
        <v>5</v>
      </c>
      <c r="D55" t="s">
        <v>6</v>
      </c>
      <c r="E55" t="s">
        <v>15</v>
      </c>
      <c r="F55" s="4">
        <v>44.51</v>
      </c>
      <c r="G55" s="4">
        <v>7.31</v>
      </c>
    </row>
    <row r="56" spans="1:7">
      <c r="A56" t="s">
        <v>243</v>
      </c>
      <c r="B56" s="3">
        <v>46225</v>
      </c>
      <c r="C56" t="s">
        <v>7</v>
      </c>
      <c r="D56" t="s">
        <v>226</v>
      </c>
      <c r="E56" t="s">
        <v>8</v>
      </c>
      <c r="F56" s="4"/>
      <c r="G56" s="4">
        <v>5.08</v>
      </c>
    </row>
    <row r="57" spans="1:7">
      <c r="A57" t="s">
        <v>46</v>
      </c>
      <c r="B57" s="3">
        <v>45906</v>
      </c>
      <c r="C57" t="s">
        <v>19</v>
      </c>
      <c r="D57" t="s">
        <v>226</v>
      </c>
      <c r="E57" t="s">
        <v>230</v>
      </c>
      <c r="F57" s="4">
        <v>27.87</v>
      </c>
      <c r="G57" s="4">
        <v>3.69</v>
      </c>
    </row>
    <row r="58" spans="1:7">
      <c r="A58" t="s">
        <v>47</v>
      </c>
      <c r="B58" s="3">
        <v>45665</v>
      </c>
      <c r="C58" t="s">
        <v>21</v>
      </c>
      <c r="D58" t="s">
        <v>226</v>
      </c>
      <c r="E58" t="s">
        <v>15</v>
      </c>
      <c r="F58" s="4">
        <v>43.16</v>
      </c>
      <c r="G58" s="4">
        <v>8.31</v>
      </c>
    </row>
    <row r="59" spans="1:7">
      <c r="A59" t="s">
        <v>244</v>
      </c>
      <c r="B59" s="3">
        <v>46177</v>
      </c>
      <c r="D59" t="s">
        <v>226</v>
      </c>
      <c r="E59" t="s">
        <v>8</v>
      </c>
      <c r="F59" s="4">
        <v>27.05</v>
      </c>
      <c r="G59" s="4">
        <v>1.29</v>
      </c>
    </row>
    <row r="60" spans="1:7">
      <c r="A60" t="s">
        <v>245</v>
      </c>
      <c r="B60" s="3"/>
      <c r="C60" t="s">
        <v>19</v>
      </c>
      <c r="D60" t="s">
        <v>226</v>
      </c>
      <c r="E60" t="s">
        <v>6</v>
      </c>
      <c r="F60" s="4">
        <v>14.07</v>
      </c>
      <c r="G60" s="4">
        <v>13.51</v>
      </c>
    </row>
    <row r="61" spans="1:7">
      <c r="A61" t="s">
        <v>48</v>
      </c>
      <c r="B61" s="3">
        <v>46228</v>
      </c>
      <c r="C61" t="s">
        <v>7</v>
      </c>
      <c r="D61" t="s">
        <v>6</v>
      </c>
      <c r="E61" t="s">
        <v>15</v>
      </c>
      <c r="F61" s="4">
        <v>63.94</v>
      </c>
      <c r="G61" s="4">
        <v>11.76</v>
      </c>
    </row>
    <row r="62" spans="1:7">
      <c r="A62" t="s">
        <v>49</v>
      </c>
      <c r="B62" s="3">
        <v>46052</v>
      </c>
      <c r="C62" t="s">
        <v>19</v>
      </c>
      <c r="D62" t="s">
        <v>226</v>
      </c>
      <c r="E62" t="s">
        <v>15</v>
      </c>
      <c r="F62" s="4">
        <v>58.01</v>
      </c>
      <c r="G62" s="4">
        <v>8.82</v>
      </c>
    </row>
    <row r="63" spans="1:7">
      <c r="A63" t="s">
        <v>246</v>
      </c>
      <c r="B63" s="3"/>
      <c r="C63" t="s">
        <v>5</v>
      </c>
      <c r="D63" t="s">
        <v>226</v>
      </c>
      <c r="E63" t="s">
        <v>12</v>
      </c>
      <c r="F63" s="4">
        <v>30.59</v>
      </c>
      <c r="G63" s="4">
        <v>6.69</v>
      </c>
    </row>
    <row r="64" spans="1:7">
      <c r="A64" t="s">
        <v>50</v>
      </c>
      <c r="B64" s="3">
        <v>45744</v>
      </c>
      <c r="C64" t="s">
        <v>21</v>
      </c>
      <c r="D64" t="s">
        <v>224</v>
      </c>
      <c r="E64" t="s">
        <v>8</v>
      </c>
      <c r="F64" s="4">
        <v>20.48</v>
      </c>
      <c r="G64" s="4">
        <v>1.65</v>
      </c>
    </row>
    <row r="65" spans="1:7">
      <c r="A65" t="s">
        <v>51</v>
      </c>
      <c r="B65" s="3">
        <v>45683</v>
      </c>
      <c r="C65" t="s">
        <v>9</v>
      </c>
      <c r="D65" t="s">
        <v>6</v>
      </c>
      <c r="E65" t="s">
        <v>15</v>
      </c>
      <c r="F65" s="4">
        <v>70.87</v>
      </c>
      <c r="G65" s="4">
        <v>11.65</v>
      </c>
    </row>
    <row r="66" spans="1:7">
      <c r="A66" t="s">
        <v>52</v>
      </c>
      <c r="B66" s="3">
        <v>45709</v>
      </c>
      <c r="C66" t="s">
        <v>5</v>
      </c>
      <c r="D66" t="s">
        <v>226</v>
      </c>
      <c r="E66" t="s">
        <v>12</v>
      </c>
      <c r="F66" s="4">
        <v>38.24</v>
      </c>
      <c r="G66" s="4">
        <v>5.88</v>
      </c>
    </row>
    <row r="67" spans="1:7">
      <c r="A67" t="s">
        <v>53</v>
      </c>
      <c r="B67" s="3">
        <v>46001</v>
      </c>
      <c r="C67" t="s">
        <v>5</v>
      </c>
      <c r="D67" t="s">
        <v>6</v>
      </c>
      <c r="E67" t="s">
        <v>12</v>
      </c>
      <c r="F67" s="4">
        <v>24.4</v>
      </c>
      <c r="G67" s="4">
        <v>5.14</v>
      </c>
    </row>
    <row r="68" spans="1:7">
      <c r="A68" t="s">
        <v>54</v>
      </c>
      <c r="B68" s="3">
        <v>45726</v>
      </c>
      <c r="C68" t="s">
        <v>9</v>
      </c>
      <c r="D68" t="s">
        <v>226</v>
      </c>
      <c r="E68" t="s">
        <v>12</v>
      </c>
      <c r="F68" s="4">
        <v>43.63</v>
      </c>
      <c r="G68" s="4">
        <v>2.0699999999999998</v>
      </c>
    </row>
    <row r="69" spans="1:7">
      <c r="A69" t="s">
        <v>55</v>
      </c>
      <c r="B69" s="3">
        <v>45840</v>
      </c>
      <c r="C69" t="s">
        <v>5</v>
      </c>
      <c r="D69" t="s">
        <v>224</v>
      </c>
      <c r="E69" t="s">
        <v>12</v>
      </c>
      <c r="F69" s="4">
        <v>25.07</v>
      </c>
      <c r="G69" s="4">
        <v>4.41</v>
      </c>
    </row>
    <row r="70" spans="1:7">
      <c r="B70" s="3">
        <v>46206</v>
      </c>
      <c r="C70" t="s">
        <v>19</v>
      </c>
      <c r="D70" t="s">
        <v>230</v>
      </c>
      <c r="E70" t="s">
        <v>8</v>
      </c>
      <c r="F70" s="4">
        <v>3.76</v>
      </c>
      <c r="G70" s="4">
        <v>2.56</v>
      </c>
    </row>
    <row r="71" spans="1:7">
      <c r="A71" t="s">
        <v>56</v>
      </c>
      <c r="B71" s="3">
        <v>46000</v>
      </c>
      <c r="C71" t="s">
        <v>5</v>
      </c>
      <c r="D71" t="s">
        <v>226</v>
      </c>
      <c r="E71" t="s">
        <v>15</v>
      </c>
      <c r="F71" s="4">
        <v>57.8</v>
      </c>
      <c r="G71" s="4">
        <v>2.04</v>
      </c>
    </row>
    <row r="72" spans="1:7">
      <c r="A72" t="s">
        <v>57</v>
      </c>
      <c r="B72" s="3">
        <v>46183</v>
      </c>
      <c r="C72" t="s">
        <v>14</v>
      </c>
      <c r="D72" t="s">
        <v>224</v>
      </c>
      <c r="E72" t="s">
        <v>8</v>
      </c>
      <c r="F72" s="4">
        <v>13.94</v>
      </c>
      <c r="G72" s="4">
        <v>4.4400000000000004</v>
      </c>
    </row>
    <row r="73" spans="1:7">
      <c r="A73" t="s">
        <v>58</v>
      </c>
      <c r="B73" s="3">
        <v>45883</v>
      </c>
      <c r="C73" t="s">
        <v>5</v>
      </c>
      <c r="D73" t="s">
        <v>224</v>
      </c>
      <c r="E73" t="s">
        <v>12</v>
      </c>
      <c r="F73" s="4">
        <v>40.99</v>
      </c>
      <c r="G73" s="4">
        <v>3.74</v>
      </c>
    </row>
    <row r="74" spans="1:7">
      <c r="A74" t="s">
        <v>247</v>
      </c>
      <c r="B74" s="3">
        <v>46049</v>
      </c>
      <c r="C74" t="s">
        <v>19</v>
      </c>
      <c r="D74" t="s">
        <v>6</v>
      </c>
      <c r="E74" t="s">
        <v>8</v>
      </c>
      <c r="F74" s="4"/>
      <c r="G74" s="4">
        <v>1.55</v>
      </c>
    </row>
    <row r="75" spans="1:7">
      <c r="A75" t="s">
        <v>248</v>
      </c>
      <c r="B75" s="3">
        <v>45991</v>
      </c>
      <c r="C75" t="s">
        <v>7</v>
      </c>
      <c r="E75" t="s">
        <v>12</v>
      </c>
      <c r="F75" s="4">
        <v>18.309999999999999</v>
      </c>
      <c r="G75" s="4">
        <v>0.69</v>
      </c>
    </row>
    <row r="76" spans="1:7">
      <c r="A76" t="s">
        <v>59</v>
      </c>
      <c r="B76" s="3">
        <v>46037</v>
      </c>
      <c r="C76" t="s">
        <v>7</v>
      </c>
      <c r="D76" t="s">
        <v>226</v>
      </c>
      <c r="E76" t="s">
        <v>15</v>
      </c>
      <c r="F76" s="4">
        <v>7.39</v>
      </c>
      <c r="G76" s="4">
        <v>5.44</v>
      </c>
    </row>
    <row r="77" spans="1:7">
      <c r="A77" t="s">
        <v>249</v>
      </c>
      <c r="B77" s="3">
        <v>46033</v>
      </c>
      <c r="C77" t="s">
        <v>14</v>
      </c>
      <c r="D77" t="s">
        <v>226</v>
      </c>
      <c r="E77" t="s">
        <v>15</v>
      </c>
      <c r="F77" s="4"/>
      <c r="G77" s="4">
        <v>12.78</v>
      </c>
    </row>
    <row r="78" spans="1:7">
      <c r="A78" t="s">
        <v>60</v>
      </c>
      <c r="B78" s="3">
        <v>46137</v>
      </c>
      <c r="C78" t="s">
        <v>14</v>
      </c>
      <c r="D78" t="s">
        <v>226</v>
      </c>
      <c r="E78" t="s">
        <v>15</v>
      </c>
      <c r="F78" s="4">
        <v>21.09</v>
      </c>
      <c r="G78" s="4">
        <v>10.39</v>
      </c>
    </row>
    <row r="79" spans="1:7">
      <c r="A79" t="s">
        <v>61</v>
      </c>
      <c r="B79" s="3">
        <v>45667</v>
      </c>
      <c r="C79" t="s">
        <v>21</v>
      </c>
      <c r="D79" t="s">
        <v>224</v>
      </c>
      <c r="E79" t="s">
        <v>8</v>
      </c>
      <c r="F79" s="4">
        <v>7.36</v>
      </c>
      <c r="G79" s="4">
        <v>2.93</v>
      </c>
    </row>
    <row r="80" spans="1:7">
      <c r="B80" s="3">
        <v>46120</v>
      </c>
      <c r="C80" t="s">
        <v>5</v>
      </c>
      <c r="D80" t="s">
        <v>224</v>
      </c>
      <c r="E80" t="s">
        <v>8</v>
      </c>
      <c r="F80" s="4">
        <v>19.41</v>
      </c>
      <c r="G80" s="4">
        <v>4.2300000000000004</v>
      </c>
    </row>
    <row r="81" spans="1:7">
      <c r="A81" t="s">
        <v>62</v>
      </c>
      <c r="B81" s="3">
        <v>45708</v>
      </c>
      <c r="C81" t="s">
        <v>19</v>
      </c>
      <c r="D81" t="s">
        <v>226</v>
      </c>
      <c r="E81" t="s">
        <v>15</v>
      </c>
      <c r="F81" s="4">
        <v>48.61</v>
      </c>
      <c r="G81" s="4">
        <v>5.09</v>
      </c>
    </row>
    <row r="82" spans="1:7">
      <c r="A82" t="s">
        <v>63</v>
      </c>
      <c r="B82" s="3">
        <v>45998</v>
      </c>
      <c r="C82" t="s">
        <v>14</v>
      </c>
      <c r="D82" t="s">
        <v>224</v>
      </c>
      <c r="E82" t="s">
        <v>15</v>
      </c>
      <c r="F82" s="4">
        <v>37.71</v>
      </c>
      <c r="G82" s="4">
        <v>6.66</v>
      </c>
    </row>
    <row r="83" spans="1:7">
      <c r="A83" t="s">
        <v>250</v>
      </c>
      <c r="B83" s="3">
        <v>45884</v>
      </c>
      <c r="C83" t="s">
        <v>14</v>
      </c>
      <c r="D83" t="s">
        <v>226</v>
      </c>
      <c r="F83" s="4">
        <v>19.84</v>
      </c>
      <c r="G83" s="4">
        <v>1.61</v>
      </c>
    </row>
    <row r="84" spans="1:7">
      <c r="A84" t="s">
        <v>251</v>
      </c>
      <c r="B84" s="3">
        <v>46044</v>
      </c>
      <c r="C84" t="s">
        <v>7</v>
      </c>
      <c r="D84" t="s">
        <v>252</v>
      </c>
      <c r="E84" t="s">
        <v>8</v>
      </c>
      <c r="F84" s="4"/>
      <c r="G84" s="4">
        <v>1.79</v>
      </c>
    </row>
    <row r="85" spans="1:7">
      <c r="A85" t="s">
        <v>253</v>
      </c>
      <c r="B85" s="3">
        <v>45783</v>
      </c>
      <c r="C85" t="s">
        <v>21</v>
      </c>
      <c r="E85" t="s">
        <v>12</v>
      </c>
      <c r="F85" s="4">
        <v>27.45</v>
      </c>
      <c r="G85" s="4">
        <v>0.77</v>
      </c>
    </row>
    <row r="86" spans="1:7">
      <c r="A86" t="s">
        <v>64</v>
      </c>
      <c r="B86" s="3">
        <v>45972</v>
      </c>
      <c r="C86" t="s">
        <v>5</v>
      </c>
      <c r="D86" t="s">
        <v>226</v>
      </c>
      <c r="E86" t="s">
        <v>15</v>
      </c>
      <c r="F86" s="4">
        <v>63.54</v>
      </c>
      <c r="G86" s="4">
        <v>12.42</v>
      </c>
    </row>
    <row r="87" spans="1:7">
      <c r="A87" t="s">
        <v>254</v>
      </c>
      <c r="B87" s="3">
        <v>45968</v>
      </c>
      <c r="D87" t="s">
        <v>226</v>
      </c>
      <c r="E87" t="s">
        <v>8</v>
      </c>
      <c r="F87" s="4">
        <v>18.63</v>
      </c>
      <c r="G87" s="4">
        <v>4.79</v>
      </c>
    </row>
    <row r="88" spans="1:7">
      <c r="A88" t="s">
        <v>65</v>
      </c>
      <c r="B88" s="3">
        <v>46025</v>
      </c>
      <c r="C88" t="s">
        <v>7</v>
      </c>
      <c r="D88" t="s">
        <v>6</v>
      </c>
      <c r="E88" t="s">
        <v>15</v>
      </c>
      <c r="F88" s="4">
        <v>68.34</v>
      </c>
      <c r="G88" s="4">
        <v>5.97</v>
      </c>
    </row>
    <row r="89" spans="1:7">
      <c r="A89" t="s">
        <v>255</v>
      </c>
      <c r="B89" s="3">
        <v>45719</v>
      </c>
      <c r="C89" t="s">
        <v>5</v>
      </c>
      <c r="D89" t="s">
        <v>224</v>
      </c>
      <c r="E89" t="s">
        <v>12</v>
      </c>
      <c r="F89" s="4"/>
      <c r="G89" s="4">
        <v>4.2699999999999996</v>
      </c>
    </row>
    <row r="90" spans="1:7">
      <c r="A90" t="s">
        <v>66</v>
      </c>
      <c r="B90" s="3">
        <v>46199</v>
      </c>
      <c r="C90" t="s">
        <v>14</v>
      </c>
      <c r="D90" t="s">
        <v>226</v>
      </c>
      <c r="E90" t="s">
        <v>15</v>
      </c>
      <c r="F90" s="4">
        <v>36.9</v>
      </c>
      <c r="G90" s="4">
        <v>33</v>
      </c>
    </row>
    <row r="91" spans="1:7">
      <c r="A91" t="s">
        <v>67</v>
      </c>
      <c r="B91" s="3">
        <v>45661</v>
      </c>
      <c r="C91" t="s">
        <v>5</v>
      </c>
      <c r="D91" t="s">
        <v>226</v>
      </c>
      <c r="E91" t="s">
        <v>12</v>
      </c>
      <c r="F91" s="4">
        <v>37.29</v>
      </c>
      <c r="G91" s="4">
        <v>6.65</v>
      </c>
    </row>
    <row r="92" spans="1:7">
      <c r="A92" t="s">
        <v>68</v>
      </c>
      <c r="B92" s="3">
        <v>46035</v>
      </c>
      <c r="C92" t="s">
        <v>9</v>
      </c>
      <c r="D92" t="s">
        <v>224</v>
      </c>
      <c r="E92" t="s">
        <v>8</v>
      </c>
      <c r="F92" s="4">
        <v>15.32</v>
      </c>
      <c r="G92" s="4">
        <v>1.77</v>
      </c>
    </row>
    <row r="93" spans="1:7">
      <c r="A93" t="s">
        <v>69</v>
      </c>
      <c r="B93" s="3">
        <v>45934</v>
      </c>
      <c r="C93" t="s">
        <v>14</v>
      </c>
      <c r="D93" t="s">
        <v>226</v>
      </c>
      <c r="E93" t="s">
        <v>8</v>
      </c>
      <c r="F93" s="4">
        <v>13.03</v>
      </c>
      <c r="G93" s="4">
        <v>5.21</v>
      </c>
    </row>
    <row r="94" spans="1:7">
      <c r="A94" t="s">
        <v>256</v>
      </c>
      <c r="B94" s="3">
        <v>45800</v>
      </c>
      <c r="C94" t="s">
        <v>19</v>
      </c>
      <c r="D94" t="s">
        <v>226</v>
      </c>
      <c r="E94" t="s">
        <v>12</v>
      </c>
      <c r="F94" s="4"/>
      <c r="G94" s="4">
        <v>3.15</v>
      </c>
    </row>
    <row r="95" spans="1:7">
      <c r="A95" t="s">
        <v>70</v>
      </c>
      <c r="B95" s="3">
        <v>45836</v>
      </c>
      <c r="C95" t="s">
        <v>5</v>
      </c>
      <c r="D95" t="s">
        <v>224</v>
      </c>
      <c r="E95" t="s">
        <v>6</v>
      </c>
      <c r="F95" s="4">
        <v>22.15</v>
      </c>
      <c r="G95" s="4">
        <v>11.76</v>
      </c>
    </row>
    <row r="96" spans="1:7">
      <c r="A96" t="s">
        <v>71</v>
      </c>
      <c r="B96" s="3">
        <v>45663</v>
      </c>
      <c r="C96" t="s">
        <v>5</v>
      </c>
      <c r="D96" t="s">
        <v>226</v>
      </c>
      <c r="E96" t="s">
        <v>15</v>
      </c>
      <c r="F96" s="4">
        <v>25.97</v>
      </c>
      <c r="G96" s="4">
        <v>1.23</v>
      </c>
    </row>
    <row r="97" spans="1:7">
      <c r="A97" t="s">
        <v>72</v>
      </c>
      <c r="B97" s="3">
        <v>45728</v>
      </c>
      <c r="C97" t="s">
        <v>19</v>
      </c>
      <c r="D97" t="s">
        <v>6</v>
      </c>
      <c r="E97" t="s">
        <v>8</v>
      </c>
      <c r="F97" s="4">
        <v>22.12</v>
      </c>
      <c r="G97" s="4">
        <v>4.2300000000000004</v>
      </c>
    </row>
    <row r="98" spans="1:7">
      <c r="A98" t="s">
        <v>73</v>
      </c>
      <c r="B98" s="3">
        <v>45917</v>
      </c>
      <c r="C98" t="s">
        <v>5</v>
      </c>
      <c r="D98" t="s">
        <v>226</v>
      </c>
      <c r="E98" t="s">
        <v>8</v>
      </c>
      <c r="F98" s="4">
        <v>23.74</v>
      </c>
      <c r="G98" s="4">
        <v>4.54</v>
      </c>
    </row>
    <row r="99" spans="1:7">
      <c r="A99" t="s">
        <v>74</v>
      </c>
      <c r="B99" s="3">
        <v>45669</v>
      </c>
      <c r="C99" t="s">
        <v>7</v>
      </c>
      <c r="D99" t="s">
        <v>226</v>
      </c>
      <c r="E99" t="s">
        <v>15</v>
      </c>
      <c r="F99" s="4">
        <v>66.98</v>
      </c>
      <c r="G99" s="4">
        <v>10.27</v>
      </c>
    </row>
    <row r="100" spans="1:7">
      <c r="A100" t="s">
        <v>257</v>
      </c>
      <c r="B100" s="3"/>
      <c r="C100" t="s">
        <v>14</v>
      </c>
      <c r="D100" t="s">
        <v>226</v>
      </c>
      <c r="E100" t="s">
        <v>15</v>
      </c>
      <c r="F100" s="4">
        <v>27.37</v>
      </c>
      <c r="G100" s="4">
        <v>8.3699999999999992</v>
      </c>
    </row>
    <row r="101" spans="1:7">
      <c r="A101" t="s">
        <v>75</v>
      </c>
      <c r="B101" s="3">
        <v>45986</v>
      </c>
      <c r="C101" t="s">
        <v>19</v>
      </c>
      <c r="D101" t="s">
        <v>224</v>
      </c>
      <c r="E101" t="s">
        <v>15</v>
      </c>
      <c r="F101" s="4">
        <v>14.34</v>
      </c>
      <c r="G101" s="4">
        <v>12.47</v>
      </c>
    </row>
    <row r="102" spans="1:7">
      <c r="A102" t="s">
        <v>76</v>
      </c>
      <c r="B102" s="3">
        <v>45890</v>
      </c>
      <c r="C102" t="s">
        <v>14</v>
      </c>
      <c r="D102" t="s">
        <v>6</v>
      </c>
      <c r="E102" t="s">
        <v>12</v>
      </c>
      <c r="F102" s="4">
        <v>41.73</v>
      </c>
      <c r="G102" s="4">
        <v>3.38</v>
      </c>
    </row>
    <row r="103" spans="1:7">
      <c r="A103" t="s">
        <v>77</v>
      </c>
      <c r="B103" s="3">
        <v>45921</v>
      </c>
      <c r="C103" t="s">
        <v>5</v>
      </c>
      <c r="D103" t="s">
        <v>226</v>
      </c>
      <c r="E103" t="s">
        <v>15</v>
      </c>
      <c r="F103" s="4">
        <v>11.1</v>
      </c>
      <c r="G103" s="4">
        <v>9.6999999999999993</v>
      </c>
    </row>
    <row r="104" spans="1:7">
      <c r="A104" t="s">
        <v>258</v>
      </c>
      <c r="B104" s="3"/>
      <c r="C104" t="s">
        <v>7</v>
      </c>
      <c r="D104" t="s">
        <v>224</v>
      </c>
      <c r="E104" t="s">
        <v>12</v>
      </c>
      <c r="F104" s="4">
        <v>41.8</v>
      </c>
      <c r="G104" s="4">
        <v>1.1599999999999999</v>
      </c>
    </row>
    <row r="105" spans="1:7">
      <c r="A105" t="s">
        <v>78</v>
      </c>
      <c r="B105" s="3">
        <v>46204</v>
      </c>
      <c r="C105" t="s">
        <v>21</v>
      </c>
      <c r="D105" t="s">
        <v>226</v>
      </c>
      <c r="E105" t="s">
        <v>15</v>
      </c>
      <c r="F105" s="4">
        <v>35.31</v>
      </c>
      <c r="G105" s="4">
        <v>5.0599999999999996</v>
      </c>
    </row>
    <row r="106" spans="1:7">
      <c r="A106" t="s">
        <v>79</v>
      </c>
      <c r="B106" s="3">
        <v>45713</v>
      </c>
      <c r="C106" t="s">
        <v>5</v>
      </c>
      <c r="D106" t="s">
        <v>226</v>
      </c>
      <c r="E106" t="s">
        <v>15</v>
      </c>
      <c r="F106" s="4">
        <v>52.67</v>
      </c>
      <c r="G106" s="4">
        <v>2.2799999999999998</v>
      </c>
    </row>
    <row r="107" spans="1:7">
      <c r="A107" t="s">
        <v>80</v>
      </c>
      <c r="B107" s="3">
        <v>45734</v>
      </c>
      <c r="C107" t="s">
        <v>19</v>
      </c>
      <c r="D107" t="s">
        <v>226</v>
      </c>
      <c r="E107" t="s">
        <v>8</v>
      </c>
      <c r="F107" s="4">
        <v>23.54</v>
      </c>
      <c r="G107" s="4">
        <v>1.71</v>
      </c>
    </row>
    <row r="108" spans="1:7">
      <c r="A108" t="s">
        <v>81</v>
      </c>
      <c r="B108" s="3">
        <v>45747</v>
      </c>
      <c r="C108" t="s">
        <v>14</v>
      </c>
      <c r="D108" t="s">
        <v>224</v>
      </c>
      <c r="E108" t="s">
        <v>12</v>
      </c>
      <c r="F108" s="4">
        <v>42.55</v>
      </c>
      <c r="G108" s="4">
        <v>3.67</v>
      </c>
    </row>
    <row r="109" spans="1:7">
      <c r="A109" t="s">
        <v>82</v>
      </c>
      <c r="B109" s="3">
        <v>46169</v>
      </c>
      <c r="C109" t="s">
        <v>5</v>
      </c>
      <c r="D109" t="s">
        <v>224</v>
      </c>
      <c r="E109" t="s">
        <v>15</v>
      </c>
      <c r="F109" s="4">
        <v>43.89</v>
      </c>
      <c r="G109" s="4">
        <v>6.75</v>
      </c>
    </row>
    <row r="110" spans="1:7">
      <c r="A110" t="s">
        <v>83</v>
      </c>
      <c r="B110" s="3">
        <v>45870</v>
      </c>
      <c r="C110" t="s">
        <v>5</v>
      </c>
      <c r="D110" t="s">
        <v>226</v>
      </c>
      <c r="E110" t="s">
        <v>12</v>
      </c>
      <c r="F110" s="4">
        <v>18.89</v>
      </c>
      <c r="G110" s="4">
        <v>5.35</v>
      </c>
    </row>
    <row r="111" spans="1:7">
      <c r="A111" t="s">
        <v>84</v>
      </c>
      <c r="B111" s="3">
        <v>45841</v>
      </c>
      <c r="C111" t="s">
        <v>21</v>
      </c>
      <c r="D111" t="s">
        <v>226</v>
      </c>
      <c r="E111" t="s">
        <v>12</v>
      </c>
      <c r="F111" s="4">
        <v>38.46</v>
      </c>
      <c r="G111" s="4">
        <v>0.82</v>
      </c>
    </row>
    <row r="112" spans="1:7">
      <c r="A112" t="s">
        <v>85</v>
      </c>
      <c r="B112" s="3">
        <v>46072</v>
      </c>
      <c r="C112" t="s">
        <v>5</v>
      </c>
      <c r="D112" t="s">
        <v>226</v>
      </c>
      <c r="E112" t="s">
        <v>15</v>
      </c>
      <c r="F112" s="4">
        <v>28.25</v>
      </c>
      <c r="G112" s="4">
        <v>10.75</v>
      </c>
    </row>
    <row r="113" spans="1:7">
      <c r="A113" t="s">
        <v>259</v>
      </c>
      <c r="B113" s="3">
        <v>45771</v>
      </c>
      <c r="C113" t="s">
        <v>21</v>
      </c>
      <c r="D113" t="s">
        <v>224</v>
      </c>
      <c r="E113" t="s">
        <v>8</v>
      </c>
      <c r="F113" s="4">
        <v>20.18</v>
      </c>
      <c r="G113" s="4"/>
    </row>
    <row r="114" spans="1:7">
      <c r="A114" t="s">
        <v>86</v>
      </c>
      <c r="B114" s="3">
        <v>46155</v>
      </c>
      <c r="C114" t="s">
        <v>5</v>
      </c>
      <c r="D114" t="s">
        <v>224</v>
      </c>
      <c r="E114" t="s">
        <v>8</v>
      </c>
      <c r="F114" s="4">
        <v>3.64</v>
      </c>
      <c r="G114" s="4">
        <v>2.73</v>
      </c>
    </row>
    <row r="115" spans="1:7">
      <c r="A115" t="s">
        <v>87</v>
      </c>
      <c r="B115" s="3">
        <v>46057</v>
      </c>
      <c r="C115" t="s">
        <v>5</v>
      </c>
      <c r="D115" t="s">
        <v>224</v>
      </c>
      <c r="E115" t="s">
        <v>15</v>
      </c>
      <c r="F115" s="4">
        <v>17.649999999999999</v>
      </c>
      <c r="G115" s="4">
        <v>10.75</v>
      </c>
    </row>
    <row r="116" spans="1:7">
      <c r="A116" t="s">
        <v>88</v>
      </c>
      <c r="B116" s="3">
        <v>45751</v>
      </c>
      <c r="C116" t="s">
        <v>5</v>
      </c>
      <c r="D116" t="s">
        <v>226</v>
      </c>
      <c r="E116" t="s">
        <v>12</v>
      </c>
      <c r="F116" s="4">
        <v>20.81</v>
      </c>
      <c r="G116" s="4">
        <v>3.27</v>
      </c>
    </row>
    <row r="117" spans="1:7">
      <c r="A117" t="s">
        <v>89</v>
      </c>
      <c r="B117" s="3">
        <v>45959</v>
      </c>
      <c r="C117" t="s">
        <v>5</v>
      </c>
      <c r="D117" t="s">
        <v>224</v>
      </c>
      <c r="E117" t="s">
        <v>15</v>
      </c>
      <c r="F117" s="4">
        <v>34.729999999999997</v>
      </c>
      <c r="G117" s="4">
        <v>8.82</v>
      </c>
    </row>
    <row r="118" spans="1:7">
      <c r="A118" t="s">
        <v>260</v>
      </c>
      <c r="B118" s="3">
        <v>46200</v>
      </c>
      <c r="C118" t="s">
        <v>19</v>
      </c>
      <c r="D118" t="s">
        <v>6</v>
      </c>
      <c r="F118" s="4">
        <v>61.42</v>
      </c>
      <c r="G118" s="4">
        <v>10.31</v>
      </c>
    </row>
    <row r="119" spans="1:7">
      <c r="A119" t="s">
        <v>261</v>
      </c>
      <c r="B119" s="3">
        <v>45911</v>
      </c>
      <c r="D119" t="s">
        <v>226</v>
      </c>
      <c r="E119" t="s">
        <v>12</v>
      </c>
      <c r="F119" s="4">
        <v>36.65</v>
      </c>
      <c r="G119" s="4">
        <v>4.09</v>
      </c>
    </row>
    <row r="120" spans="1:7">
      <c r="A120" t="s">
        <v>262</v>
      </c>
      <c r="B120" s="3">
        <v>45966</v>
      </c>
      <c r="C120" t="s">
        <v>19</v>
      </c>
      <c r="D120" t="s">
        <v>6</v>
      </c>
      <c r="F120" s="4">
        <v>23.3</v>
      </c>
      <c r="G120" s="4">
        <v>7.82</v>
      </c>
    </row>
    <row r="121" spans="1:7">
      <c r="A121" t="s">
        <v>90</v>
      </c>
      <c r="B121" s="3">
        <v>46024</v>
      </c>
      <c r="C121" t="s">
        <v>91</v>
      </c>
      <c r="D121" t="s">
        <v>226</v>
      </c>
      <c r="E121" t="s">
        <v>12</v>
      </c>
      <c r="F121" s="4">
        <v>31.53</v>
      </c>
      <c r="G121" s="4">
        <v>6.43</v>
      </c>
    </row>
    <row r="122" spans="1:7">
      <c r="A122" t="s">
        <v>92</v>
      </c>
      <c r="B122" s="3">
        <v>46227</v>
      </c>
      <c r="C122" t="s">
        <v>7</v>
      </c>
      <c r="D122" t="s">
        <v>224</v>
      </c>
      <c r="E122" t="s">
        <v>8</v>
      </c>
      <c r="F122" s="4">
        <v>3.08</v>
      </c>
      <c r="G122" s="4">
        <v>3.11</v>
      </c>
    </row>
    <row r="123" spans="1:7">
      <c r="A123" t="s">
        <v>93</v>
      </c>
      <c r="B123" s="3">
        <v>45851</v>
      </c>
      <c r="C123" t="s">
        <v>9</v>
      </c>
      <c r="D123" t="s">
        <v>263</v>
      </c>
      <c r="E123" t="s">
        <v>15</v>
      </c>
      <c r="F123" s="4">
        <v>54.24</v>
      </c>
      <c r="G123" s="4">
        <v>12.53</v>
      </c>
    </row>
    <row r="124" spans="1:7">
      <c r="A124" t="s">
        <v>264</v>
      </c>
      <c r="B124" s="3">
        <v>46045</v>
      </c>
      <c r="C124" t="s">
        <v>19</v>
      </c>
      <c r="E124" t="s">
        <v>12</v>
      </c>
      <c r="F124" s="4">
        <v>12.07</v>
      </c>
      <c r="G124" s="4">
        <v>0.71</v>
      </c>
    </row>
    <row r="125" spans="1:7">
      <c r="A125" t="s">
        <v>94</v>
      </c>
      <c r="B125" s="3">
        <v>45814</v>
      </c>
      <c r="C125" t="s">
        <v>9</v>
      </c>
      <c r="D125" t="s">
        <v>6</v>
      </c>
      <c r="E125" t="s">
        <v>15</v>
      </c>
      <c r="F125" s="4">
        <v>19.53</v>
      </c>
      <c r="G125" s="4">
        <v>6.02</v>
      </c>
    </row>
    <row r="126" spans="1:7">
      <c r="A126" t="s">
        <v>95</v>
      </c>
      <c r="B126" s="3">
        <v>45995</v>
      </c>
      <c r="C126" t="s">
        <v>7</v>
      </c>
      <c r="D126" t="s">
        <v>226</v>
      </c>
      <c r="E126" t="s">
        <v>15</v>
      </c>
      <c r="F126" s="4">
        <v>17.84</v>
      </c>
      <c r="G126" s="4">
        <v>2.13</v>
      </c>
    </row>
    <row r="127" spans="1:7">
      <c r="A127" t="s">
        <v>265</v>
      </c>
      <c r="B127" s="3">
        <v>45810</v>
      </c>
      <c r="C127" t="s">
        <v>14</v>
      </c>
      <c r="E127" t="s">
        <v>12</v>
      </c>
      <c r="F127" s="4">
        <v>21.25</v>
      </c>
      <c r="G127" s="4">
        <v>3.99</v>
      </c>
    </row>
    <row r="128" spans="1:7">
      <c r="A128" t="s">
        <v>96</v>
      </c>
      <c r="B128" s="3">
        <v>45936</v>
      </c>
      <c r="C128" t="s">
        <v>21</v>
      </c>
      <c r="D128" t="s">
        <v>226</v>
      </c>
      <c r="E128" t="s">
        <v>6</v>
      </c>
      <c r="F128" s="4">
        <v>63.79</v>
      </c>
      <c r="G128" s="4">
        <v>12.64</v>
      </c>
    </row>
    <row r="129" spans="1:7">
      <c r="A129" t="s">
        <v>97</v>
      </c>
      <c r="B129" s="3">
        <v>46143</v>
      </c>
      <c r="C129" t="s">
        <v>19</v>
      </c>
      <c r="D129" t="s">
        <v>226</v>
      </c>
      <c r="E129" t="s">
        <v>8</v>
      </c>
      <c r="F129" s="4">
        <v>4.71</v>
      </c>
      <c r="G129" s="4">
        <v>2.74</v>
      </c>
    </row>
    <row r="130" spans="1:7">
      <c r="A130" t="s">
        <v>266</v>
      </c>
      <c r="B130" s="3"/>
      <c r="C130" t="s">
        <v>21</v>
      </c>
      <c r="D130" t="s">
        <v>226</v>
      </c>
      <c r="E130" t="s">
        <v>8</v>
      </c>
      <c r="F130" s="4">
        <v>28.79</v>
      </c>
      <c r="G130" s="4">
        <v>3.66</v>
      </c>
    </row>
    <row r="131" spans="1:7">
      <c r="A131" t="s">
        <v>267</v>
      </c>
      <c r="B131" s="3">
        <v>45890</v>
      </c>
      <c r="D131" t="s">
        <v>224</v>
      </c>
      <c r="E131" t="s">
        <v>8</v>
      </c>
      <c r="F131" s="4">
        <v>21.02</v>
      </c>
      <c r="G131" s="4">
        <v>4.7</v>
      </c>
    </row>
    <row r="132" spans="1:7">
      <c r="A132" t="s">
        <v>98</v>
      </c>
      <c r="B132" s="3">
        <v>45707</v>
      </c>
      <c r="C132" t="s">
        <v>14</v>
      </c>
      <c r="D132" t="s">
        <v>224</v>
      </c>
      <c r="E132" t="s">
        <v>8</v>
      </c>
      <c r="F132" s="4">
        <v>15.94</v>
      </c>
      <c r="G132" s="4">
        <v>1.23</v>
      </c>
    </row>
    <row r="133" spans="1:7">
      <c r="A133" t="s">
        <v>268</v>
      </c>
      <c r="B133" s="3">
        <v>45775</v>
      </c>
      <c r="C133" t="s">
        <v>9</v>
      </c>
      <c r="D133" t="s">
        <v>6</v>
      </c>
      <c r="F133" s="4">
        <v>2.64</v>
      </c>
      <c r="G133" s="4">
        <v>2.8</v>
      </c>
    </row>
    <row r="134" spans="1:7">
      <c r="A134" t="s">
        <v>99</v>
      </c>
      <c r="B134" s="3">
        <v>45823</v>
      </c>
      <c r="C134" t="s">
        <v>5</v>
      </c>
      <c r="D134" t="s">
        <v>226</v>
      </c>
      <c r="E134" t="s">
        <v>12</v>
      </c>
      <c r="F134" s="4">
        <v>46.38</v>
      </c>
      <c r="G134" s="4">
        <v>6.8</v>
      </c>
    </row>
    <row r="135" spans="1:7">
      <c r="A135" t="s">
        <v>100</v>
      </c>
      <c r="B135" s="3">
        <v>46201</v>
      </c>
      <c r="C135" t="s">
        <v>9</v>
      </c>
      <c r="D135" t="s">
        <v>224</v>
      </c>
      <c r="E135" t="s">
        <v>269</v>
      </c>
      <c r="F135" s="4">
        <v>25.27</v>
      </c>
      <c r="G135" s="4">
        <v>5.32</v>
      </c>
    </row>
    <row r="136" spans="1:7">
      <c r="A136" t="s">
        <v>270</v>
      </c>
      <c r="B136" s="3">
        <v>45924</v>
      </c>
      <c r="D136" t="s">
        <v>6</v>
      </c>
      <c r="E136" t="s">
        <v>8</v>
      </c>
      <c r="F136" s="4">
        <v>4.2699999999999996</v>
      </c>
      <c r="G136" s="4">
        <v>1.7</v>
      </c>
    </row>
    <row r="137" spans="1:7">
      <c r="A137" t="s">
        <v>101</v>
      </c>
      <c r="B137" s="3">
        <v>46023</v>
      </c>
      <c r="C137" t="s">
        <v>21</v>
      </c>
      <c r="D137" t="s">
        <v>226</v>
      </c>
      <c r="E137" t="s">
        <v>15</v>
      </c>
      <c r="F137" s="4">
        <v>26.83</v>
      </c>
      <c r="G137" s="4">
        <v>7.97</v>
      </c>
    </row>
    <row r="138" spans="1:7">
      <c r="A138" t="s">
        <v>102</v>
      </c>
      <c r="B138" s="3">
        <v>45946</v>
      </c>
      <c r="C138" t="s">
        <v>7</v>
      </c>
      <c r="D138" t="s">
        <v>226</v>
      </c>
      <c r="E138" t="s">
        <v>8</v>
      </c>
      <c r="F138" s="4">
        <v>28.6</v>
      </c>
      <c r="G138" s="4">
        <v>1.62</v>
      </c>
    </row>
    <row r="139" spans="1:7">
      <c r="A139" t="s">
        <v>271</v>
      </c>
      <c r="B139" s="3">
        <v>46072</v>
      </c>
      <c r="C139" t="s">
        <v>7</v>
      </c>
      <c r="D139" t="s">
        <v>226</v>
      </c>
      <c r="F139" s="4">
        <v>41.23</v>
      </c>
      <c r="G139" s="4">
        <v>1.54</v>
      </c>
    </row>
    <row r="140" spans="1:7">
      <c r="A140" t="s">
        <v>103</v>
      </c>
      <c r="B140" s="3">
        <v>45897</v>
      </c>
      <c r="C140" t="s">
        <v>19</v>
      </c>
      <c r="D140" t="s">
        <v>226</v>
      </c>
      <c r="E140" t="s">
        <v>15</v>
      </c>
      <c r="F140" s="4">
        <v>20.93</v>
      </c>
      <c r="G140" s="4">
        <v>3.94</v>
      </c>
    </row>
    <row r="141" spans="1:7">
      <c r="A141" t="s">
        <v>272</v>
      </c>
      <c r="B141" s="3">
        <v>46194</v>
      </c>
      <c r="C141" t="s">
        <v>9</v>
      </c>
      <c r="D141" t="s">
        <v>224</v>
      </c>
      <c r="E141" t="s">
        <v>8</v>
      </c>
      <c r="F141" s="4">
        <v>2.86</v>
      </c>
      <c r="G141" s="4"/>
    </row>
    <row r="142" spans="1:7">
      <c r="A142" t="s">
        <v>104</v>
      </c>
      <c r="B142" s="3">
        <v>45712</v>
      </c>
      <c r="C142" t="s">
        <v>7</v>
      </c>
      <c r="D142" t="s">
        <v>224</v>
      </c>
      <c r="E142" t="s">
        <v>15</v>
      </c>
      <c r="F142" s="4" t="s">
        <v>273</v>
      </c>
      <c r="G142" s="4">
        <v>8.2899999999999991</v>
      </c>
    </row>
    <row r="143" spans="1:7">
      <c r="A143" t="s">
        <v>105</v>
      </c>
      <c r="B143" s="3">
        <v>45857</v>
      </c>
      <c r="C143" t="s">
        <v>7</v>
      </c>
      <c r="D143" t="s">
        <v>226</v>
      </c>
      <c r="E143" t="s">
        <v>15</v>
      </c>
      <c r="F143" s="4">
        <v>29.32</v>
      </c>
      <c r="G143" s="4">
        <v>10.36</v>
      </c>
    </row>
    <row r="144" spans="1:7">
      <c r="A144" t="s">
        <v>106</v>
      </c>
      <c r="B144" s="3">
        <v>45741</v>
      </c>
      <c r="C144" t="s">
        <v>19</v>
      </c>
      <c r="D144" t="s">
        <v>224</v>
      </c>
      <c r="E144" t="s">
        <v>12</v>
      </c>
      <c r="F144" s="4">
        <v>39.130000000000003</v>
      </c>
      <c r="G144" s="4">
        <v>5.84</v>
      </c>
    </row>
    <row r="145" spans="1:7">
      <c r="A145" t="s">
        <v>274</v>
      </c>
      <c r="B145" s="3">
        <v>46144</v>
      </c>
      <c r="C145" t="s">
        <v>5</v>
      </c>
      <c r="D145" t="s">
        <v>226</v>
      </c>
      <c r="E145" t="s">
        <v>8</v>
      </c>
      <c r="F145" s="4"/>
      <c r="G145" s="4">
        <v>2.58</v>
      </c>
    </row>
    <row r="146" spans="1:7">
      <c r="A146" t="s">
        <v>275</v>
      </c>
      <c r="B146" s="3">
        <v>46164</v>
      </c>
      <c r="C146" t="s">
        <v>9</v>
      </c>
      <c r="E146" t="s">
        <v>12</v>
      </c>
      <c r="F146" s="4">
        <v>31.36</v>
      </c>
      <c r="G146" s="4">
        <v>3.95</v>
      </c>
    </row>
    <row r="147" spans="1:7">
      <c r="A147" t="s">
        <v>107</v>
      </c>
      <c r="B147" s="3">
        <v>45945</v>
      </c>
      <c r="C147" t="s">
        <v>19</v>
      </c>
      <c r="D147" t="s">
        <v>224</v>
      </c>
      <c r="E147" t="s">
        <v>15</v>
      </c>
      <c r="F147" s="4">
        <v>39.79</v>
      </c>
      <c r="G147" s="4">
        <v>1.99</v>
      </c>
    </row>
    <row r="148" spans="1:7">
      <c r="A148" t="s">
        <v>276</v>
      </c>
      <c r="B148" s="3">
        <v>46195</v>
      </c>
      <c r="D148" t="s">
        <v>6</v>
      </c>
      <c r="E148" t="s">
        <v>15</v>
      </c>
      <c r="F148" s="4">
        <v>-5</v>
      </c>
      <c r="G148" s="4">
        <v>12.62</v>
      </c>
    </row>
    <row r="149" spans="1:7">
      <c r="A149" t="s">
        <v>108</v>
      </c>
      <c r="B149" s="3">
        <v>45886</v>
      </c>
      <c r="C149" t="s">
        <v>14</v>
      </c>
      <c r="D149" t="s">
        <v>224</v>
      </c>
      <c r="E149" t="s">
        <v>12</v>
      </c>
      <c r="F149" s="4">
        <v>6.74</v>
      </c>
      <c r="G149" s="4">
        <v>5.9</v>
      </c>
    </row>
    <row r="150" spans="1:7">
      <c r="A150" t="s">
        <v>109</v>
      </c>
      <c r="B150" s="3">
        <v>46175</v>
      </c>
      <c r="C150" t="s">
        <v>110</v>
      </c>
      <c r="D150" t="s">
        <v>224</v>
      </c>
      <c r="E150" t="s">
        <v>12</v>
      </c>
      <c r="F150" s="4">
        <v>42.17</v>
      </c>
      <c r="G150" s="4">
        <v>2.0299999999999998</v>
      </c>
    </row>
    <row r="151" spans="1:7">
      <c r="A151" t="s">
        <v>277</v>
      </c>
      <c r="B151" s="3">
        <v>45698</v>
      </c>
      <c r="D151" t="s">
        <v>6</v>
      </c>
      <c r="E151" t="s">
        <v>6</v>
      </c>
      <c r="F151" s="4">
        <v>17.95</v>
      </c>
      <c r="G151" s="4">
        <v>8.35</v>
      </c>
    </row>
    <row r="152" spans="1:7">
      <c r="A152" t="s">
        <v>111</v>
      </c>
      <c r="B152" s="3">
        <v>46226</v>
      </c>
      <c r="C152" t="s">
        <v>5</v>
      </c>
      <c r="D152" t="s">
        <v>224</v>
      </c>
      <c r="E152" t="s">
        <v>8</v>
      </c>
      <c r="F152" s="4">
        <v>24.03</v>
      </c>
      <c r="G152" s="4">
        <v>2.31</v>
      </c>
    </row>
    <row r="153" spans="1:7">
      <c r="A153" t="s">
        <v>278</v>
      </c>
      <c r="B153" s="3">
        <v>45864</v>
      </c>
      <c r="C153" t="s">
        <v>5</v>
      </c>
      <c r="D153" t="s">
        <v>226</v>
      </c>
      <c r="E153" t="s">
        <v>15</v>
      </c>
      <c r="F153" s="4"/>
      <c r="G153" s="4">
        <v>8.24</v>
      </c>
    </row>
    <row r="154" spans="1:7">
      <c r="A154" t="s">
        <v>279</v>
      </c>
      <c r="B154" s="3">
        <v>46039</v>
      </c>
      <c r="C154" t="s">
        <v>5</v>
      </c>
      <c r="D154" t="s">
        <v>226</v>
      </c>
      <c r="F154" s="4">
        <v>43.79</v>
      </c>
      <c r="G154" s="4">
        <v>4.72</v>
      </c>
    </row>
    <row r="155" spans="1:7">
      <c r="A155" t="s">
        <v>112</v>
      </c>
      <c r="B155" s="3">
        <v>46213</v>
      </c>
      <c r="C155" t="s">
        <v>19</v>
      </c>
      <c r="D155" t="s">
        <v>226</v>
      </c>
      <c r="E155" t="s">
        <v>12</v>
      </c>
      <c r="F155" s="4">
        <v>29.38</v>
      </c>
      <c r="G155" s="4">
        <v>2.93</v>
      </c>
    </row>
    <row r="156" spans="1:7">
      <c r="A156" t="s">
        <v>113</v>
      </c>
      <c r="B156" s="3">
        <v>45999</v>
      </c>
      <c r="C156" t="s">
        <v>9</v>
      </c>
      <c r="D156" t="s">
        <v>224</v>
      </c>
      <c r="E156" t="s">
        <v>8</v>
      </c>
      <c r="F156" s="4">
        <v>5.86</v>
      </c>
      <c r="G156" s="4">
        <v>1.86</v>
      </c>
    </row>
    <row r="157" spans="1:7">
      <c r="A157" t="s">
        <v>280</v>
      </c>
      <c r="B157" s="3">
        <v>46165</v>
      </c>
      <c r="C157" t="s">
        <v>5</v>
      </c>
      <c r="E157" t="s">
        <v>8</v>
      </c>
      <c r="F157" s="4">
        <v>6.71</v>
      </c>
      <c r="G157" s="4">
        <v>3.37</v>
      </c>
    </row>
    <row r="158" spans="1:7">
      <c r="A158" t="s">
        <v>114</v>
      </c>
      <c r="B158" s="3">
        <v>45732</v>
      </c>
      <c r="C158" t="s">
        <v>19</v>
      </c>
      <c r="D158" t="s">
        <v>226</v>
      </c>
      <c r="E158" t="s">
        <v>8</v>
      </c>
      <c r="F158" s="4">
        <v>10.16</v>
      </c>
      <c r="G158" s="4">
        <v>1.66</v>
      </c>
    </row>
    <row r="159" spans="1:7">
      <c r="A159" t="s">
        <v>281</v>
      </c>
      <c r="B159" s="3">
        <v>46039</v>
      </c>
      <c r="C159" t="s">
        <v>21</v>
      </c>
      <c r="D159" t="s">
        <v>226</v>
      </c>
      <c r="E159" t="s">
        <v>8</v>
      </c>
      <c r="F159" s="4">
        <v>11.1</v>
      </c>
      <c r="G159" s="4"/>
    </row>
    <row r="160" spans="1:7">
      <c r="A160" t="s">
        <v>115</v>
      </c>
      <c r="B160" s="3">
        <v>46131</v>
      </c>
      <c r="C160" t="s">
        <v>19</v>
      </c>
      <c r="D160" t="s">
        <v>226</v>
      </c>
      <c r="E160" t="s">
        <v>8</v>
      </c>
      <c r="F160" s="4">
        <v>15.77</v>
      </c>
      <c r="G160" s="4">
        <v>4</v>
      </c>
    </row>
    <row r="161" spans="1:7">
      <c r="A161" t="s">
        <v>116</v>
      </c>
      <c r="B161" s="3">
        <v>45986</v>
      </c>
      <c r="C161" t="s">
        <v>21</v>
      </c>
      <c r="D161" t="s">
        <v>6</v>
      </c>
      <c r="E161" t="s">
        <v>12</v>
      </c>
      <c r="F161" s="4">
        <v>14.72</v>
      </c>
      <c r="G161" s="4">
        <v>4.26</v>
      </c>
    </row>
    <row r="162" spans="1:7">
      <c r="A162" t="s">
        <v>117</v>
      </c>
      <c r="B162" s="3">
        <v>45870</v>
      </c>
      <c r="C162" t="s">
        <v>5</v>
      </c>
      <c r="D162" t="s">
        <v>226</v>
      </c>
      <c r="E162" t="s">
        <v>12</v>
      </c>
      <c r="F162" s="4">
        <v>44.59</v>
      </c>
      <c r="G162" s="4">
        <v>2.08</v>
      </c>
    </row>
    <row r="163" spans="1:7">
      <c r="A163" t="s">
        <v>118</v>
      </c>
      <c r="B163" s="3">
        <v>45811</v>
      </c>
      <c r="C163" t="s">
        <v>19</v>
      </c>
      <c r="D163" t="s">
        <v>224</v>
      </c>
      <c r="E163" t="s">
        <v>12</v>
      </c>
      <c r="F163" s="4">
        <v>12.92</v>
      </c>
      <c r="G163" s="4">
        <v>2.37</v>
      </c>
    </row>
    <row r="164" spans="1:7">
      <c r="A164" t="s">
        <v>282</v>
      </c>
      <c r="B164" s="3">
        <v>45813</v>
      </c>
      <c r="C164" t="s">
        <v>9</v>
      </c>
      <c r="D164" t="s">
        <v>226</v>
      </c>
      <c r="E164" t="s">
        <v>6</v>
      </c>
      <c r="F164" s="4">
        <v>85</v>
      </c>
      <c r="G164" s="4"/>
    </row>
    <row r="165" spans="1:7">
      <c r="A165" t="s">
        <v>283</v>
      </c>
      <c r="B165" s="3" t="s">
        <v>230</v>
      </c>
      <c r="C165" t="s">
        <v>21</v>
      </c>
      <c r="D165" t="s">
        <v>224</v>
      </c>
      <c r="E165" t="s">
        <v>6</v>
      </c>
      <c r="F165" s="4">
        <v>11.24</v>
      </c>
      <c r="G165" s="4"/>
    </row>
    <row r="166" spans="1:7">
      <c r="A166" t="s">
        <v>119</v>
      </c>
      <c r="B166" s="3">
        <v>46115</v>
      </c>
      <c r="C166" t="s">
        <v>5</v>
      </c>
      <c r="D166" t="s">
        <v>6</v>
      </c>
      <c r="E166" t="s">
        <v>8</v>
      </c>
      <c r="F166" s="4">
        <v>15.8</v>
      </c>
      <c r="G166" s="4">
        <v>2.35</v>
      </c>
    </row>
    <row r="167" spans="1:7">
      <c r="A167" t="s">
        <v>120</v>
      </c>
      <c r="B167" s="3">
        <v>45961</v>
      </c>
      <c r="C167" t="s">
        <v>21</v>
      </c>
      <c r="D167" t="s">
        <v>226</v>
      </c>
      <c r="E167" t="s">
        <v>8</v>
      </c>
      <c r="F167" s="4">
        <v>4.34</v>
      </c>
      <c r="G167" s="4">
        <v>1.31</v>
      </c>
    </row>
    <row r="168" spans="1:7">
      <c r="B168" s="3">
        <v>45809</v>
      </c>
      <c r="C168" t="s">
        <v>5</v>
      </c>
      <c r="D168" t="s">
        <v>226</v>
      </c>
      <c r="E168" t="s">
        <v>8</v>
      </c>
      <c r="F168" s="4">
        <v>28.24</v>
      </c>
      <c r="G168" s="4">
        <v>1.57</v>
      </c>
    </row>
    <row r="169" spans="1:7">
      <c r="A169" t="s">
        <v>284</v>
      </c>
      <c r="B169" s="3">
        <v>45724</v>
      </c>
      <c r="C169" t="s">
        <v>5</v>
      </c>
      <c r="D169" t="s">
        <v>226</v>
      </c>
      <c r="F169" s="4">
        <v>6.68</v>
      </c>
      <c r="G169" s="4">
        <v>3.38</v>
      </c>
    </row>
    <row r="170" spans="1:7">
      <c r="A170" t="s">
        <v>121</v>
      </c>
      <c r="B170" s="3">
        <v>45965</v>
      </c>
      <c r="C170" t="s">
        <v>19</v>
      </c>
      <c r="D170" t="s">
        <v>224</v>
      </c>
      <c r="E170" t="s">
        <v>15</v>
      </c>
      <c r="F170" s="4">
        <v>35.83</v>
      </c>
      <c r="G170" s="4">
        <v>3.21</v>
      </c>
    </row>
    <row r="171" spans="1:7">
      <c r="A171" t="s">
        <v>122</v>
      </c>
      <c r="B171" s="3">
        <v>45949</v>
      </c>
      <c r="C171" t="s">
        <v>5</v>
      </c>
      <c r="D171" t="s">
        <v>224</v>
      </c>
      <c r="E171" t="s">
        <v>15</v>
      </c>
      <c r="F171" s="4">
        <v>39.229999999999997</v>
      </c>
      <c r="G171" s="4">
        <v>9.0500000000000007</v>
      </c>
    </row>
    <row r="172" spans="1:7">
      <c r="A172" t="s">
        <v>123</v>
      </c>
      <c r="B172" s="3">
        <v>45860</v>
      </c>
      <c r="C172" t="s">
        <v>14</v>
      </c>
      <c r="D172" t="s">
        <v>226</v>
      </c>
      <c r="E172" t="s">
        <v>12</v>
      </c>
      <c r="F172" s="4">
        <v>4.8</v>
      </c>
      <c r="G172" s="4">
        <v>1.05</v>
      </c>
    </row>
    <row r="173" spans="1:7">
      <c r="A173" t="s">
        <v>285</v>
      </c>
      <c r="B173" s="3">
        <v>45921</v>
      </c>
      <c r="C173" t="s">
        <v>9</v>
      </c>
      <c r="D173" t="s">
        <v>226</v>
      </c>
      <c r="E173" t="s">
        <v>12</v>
      </c>
      <c r="F173" s="4">
        <v>39.43</v>
      </c>
      <c r="G173" s="4"/>
    </row>
    <row r="174" spans="1:7">
      <c r="A174" t="s">
        <v>124</v>
      </c>
      <c r="B174" s="3">
        <v>45899</v>
      </c>
      <c r="C174" t="s">
        <v>21</v>
      </c>
      <c r="D174" t="s">
        <v>224</v>
      </c>
      <c r="E174" t="s">
        <v>12</v>
      </c>
      <c r="F174" s="4">
        <v>29.62</v>
      </c>
      <c r="G174" s="4">
        <v>7.54</v>
      </c>
    </row>
    <row r="175" spans="1:7">
      <c r="A175" t="s">
        <v>286</v>
      </c>
      <c r="B175" s="3">
        <v>45678</v>
      </c>
      <c r="C175" t="s">
        <v>14</v>
      </c>
      <c r="D175" t="s">
        <v>6</v>
      </c>
      <c r="F175" s="4">
        <v>23.95</v>
      </c>
      <c r="G175" s="4">
        <v>4.7699999999999996</v>
      </c>
    </row>
    <row r="176" spans="1:7">
      <c r="A176" t="s">
        <v>287</v>
      </c>
      <c r="B176" s="3">
        <v>46071</v>
      </c>
      <c r="C176" t="s">
        <v>14</v>
      </c>
      <c r="D176" t="s">
        <v>226</v>
      </c>
      <c r="F176" s="4">
        <v>42.4</v>
      </c>
      <c r="G176" s="4">
        <v>7.58</v>
      </c>
    </row>
    <row r="177" spans="1:7">
      <c r="A177" t="s">
        <v>125</v>
      </c>
      <c r="B177" s="3">
        <v>46017</v>
      </c>
      <c r="C177" t="s">
        <v>5</v>
      </c>
      <c r="D177" t="s">
        <v>226</v>
      </c>
      <c r="E177" t="s">
        <v>12</v>
      </c>
      <c r="F177" s="4">
        <v>41.75</v>
      </c>
      <c r="G177" s="4">
        <v>5.32</v>
      </c>
    </row>
    <row r="178" spans="1:7">
      <c r="A178" t="s">
        <v>126</v>
      </c>
      <c r="B178" s="3">
        <v>46177</v>
      </c>
      <c r="C178" t="s">
        <v>9</v>
      </c>
      <c r="D178" t="s">
        <v>224</v>
      </c>
      <c r="E178" t="s">
        <v>12</v>
      </c>
      <c r="F178" s="4">
        <v>28.53</v>
      </c>
      <c r="G178" s="4">
        <v>3.09</v>
      </c>
    </row>
    <row r="179" spans="1:7">
      <c r="A179" t="s">
        <v>288</v>
      </c>
      <c r="B179" s="3">
        <v>46087</v>
      </c>
      <c r="C179" t="s">
        <v>7</v>
      </c>
      <c r="D179" t="s">
        <v>224</v>
      </c>
      <c r="F179" s="4">
        <v>21.19</v>
      </c>
      <c r="G179" s="4">
        <v>4.63</v>
      </c>
    </row>
    <row r="180" spans="1:7">
      <c r="A180" t="s">
        <v>127</v>
      </c>
      <c r="B180" s="3">
        <v>46015</v>
      </c>
      <c r="C180" t="s">
        <v>5</v>
      </c>
      <c r="D180" t="s">
        <v>226</v>
      </c>
      <c r="E180" t="s">
        <v>12</v>
      </c>
      <c r="F180" s="4">
        <v>36.450000000000003</v>
      </c>
      <c r="G180" s="4">
        <v>3.4</v>
      </c>
    </row>
    <row r="181" spans="1:7">
      <c r="A181" t="s">
        <v>128</v>
      </c>
      <c r="B181" s="3">
        <v>46143</v>
      </c>
      <c r="C181" t="s">
        <v>5</v>
      </c>
      <c r="D181" t="s">
        <v>226</v>
      </c>
      <c r="E181" t="s">
        <v>12</v>
      </c>
      <c r="F181" s="4">
        <v>3.95</v>
      </c>
      <c r="G181" s="4">
        <v>7.03</v>
      </c>
    </row>
    <row r="182" spans="1:7">
      <c r="A182" t="s">
        <v>129</v>
      </c>
      <c r="B182" s="3">
        <v>45680</v>
      </c>
      <c r="C182" t="s">
        <v>14</v>
      </c>
      <c r="D182" t="s">
        <v>226</v>
      </c>
      <c r="E182" t="s">
        <v>6</v>
      </c>
      <c r="F182" s="4">
        <v>38.68</v>
      </c>
      <c r="G182" s="4">
        <v>7.61</v>
      </c>
    </row>
    <row r="183" spans="1:7">
      <c r="A183" t="s">
        <v>130</v>
      </c>
      <c r="B183" s="3">
        <v>45737</v>
      </c>
      <c r="C183" t="s">
        <v>9</v>
      </c>
      <c r="D183" t="s">
        <v>226</v>
      </c>
      <c r="E183" t="s">
        <v>15</v>
      </c>
      <c r="F183" s="4">
        <v>43.21</v>
      </c>
      <c r="G183" s="4">
        <v>11.58</v>
      </c>
    </row>
    <row r="184" spans="1:7">
      <c r="A184" t="s">
        <v>131</v>
      </c>
      <c r="B184" s="3"/>
      <c r="C184" t="s">
        <v>5</v>
      </c>
      <c r="D184" t="s">
        <v>6</v>
      </c>
      <c r="E184" t="s">
        <v>8</v>
      </c>
      <c r="F184" s="4">
        <v>14.81</v>
      </c>
      <c r="G184" s="4">
        <v>3.18</v>
      </c>
    </row>
    <row r="185" spans="1:7">
      <c r="A185" t="s">
        <v>132</v>
      </c>
      <c r="B185" s="3">
        <v>46004</v>
      </c>
      <c r="C185" t="s">
        <v>5</v>
      </c>
      <c r="D185" t="s">
        <v>224</v>
      </c>
      <c r="E185" t="s">
        <v>12</v>
      </c>
      <c r="F185" s="4">
        <v>16.079999999999998</v>
      </c>
      <c r="G185" s="4">
        <v>8.42</v>
      </c>
    </row>
    <row r="186" spans="1:7">
      <c r="A186" t="s">
        <v>133</v>
      </c>
      <c r="B186" s="3">
        <v>46063</v>
      </c>
      <c r="C186" t="s">
        <v>7</v>
      </c>
      <c r="D186" t="s">
        <v>224</v>
      </c>
      <c r="E186" t="s">
        <v>8</v>
      </c>
      <c r="F186" s="4">
        <v>4.6500000000000004</v>
      </c>
      <c r="G186" s="4">
        <v>3.8</v>
      </c>
    </row>
    <row r="187" spans="1:7">
      <c r="A187" t="s">
        <v>134</v>
      </c>
      <c r="B187" s="3">
        <v>45967</v>
      </c>
      <c r="C187" t="s">
        <v>21</v>
      </c>
      <c r="D187" t="s">
        <v>226</v>
      </c>
      <c r="E187" t="s">
        <v>15</v>
      </c>
      <c r="F187" s="4">
        <v>68.77</v>
      </c>
      <c r="G187" s="4">
        <v>5.31</v>
      </c>
    </row>
    <row r="188" spans="1:7">
      <c r="A188" t="s">
        <v>135</v>
      </c>
      <c r="B188" s="3">
        <v>46100</v>
      </c>
      <c r="C188" t="s">
        <v>9</v>
      </c>
      <c r="D188" t="s">
        <v>224</v>
      </c>
      <c r="E188" t="s">
        <v>12</v>
      </c>
      <c r="F188" s="4">
        <v>47.6</v>
      </c>
      <c r="G188" s="4">
        <v>3.62</v>
      </c>
    </row>
    <row r="189" spans="1:7">
      <c r="A189" t="s">
        <v>136</v>
      </c>
      <c r="B189" s="3">
        <v>46102</v>
      </c>
      <c r="C189" t="s">
        <v>19</v>
      </c>
      <c r="D189" t="s">
        <v>226</v>
      </c>
      <c r="E189" t="s">
        <v>8</v>
      </c>
      <c r="F189" s="4">
        <v>12.02</v>
      </c>
      <c r="G189" s="4">
        <v>3.26</v>
      </c>
    </row>
    <row r="190" spans="1:7">
      <c r="A190" t="s">
        <v>137</v>
      </c>
      <c r="B190" s="3">
        <v>45714</v>
      </c>
      <c r="C190" t="s">
        <v>21</v>
      </c>
      <c r="D190" t="s">
        <v>224</v>
      </c>
      <c r="E190" t="s">
        <v>8</v>
      </c>
      <c r="F190" s="4">
        <v>21.7</v>
      </c>
      <c r="G190" s="4">
        <v>4.4000000000000004</v>
      </c>
    </row>
    <row r="191" spans="1:7">
      <c r="A191" t="s">
        <v>138</v>
      </c>
      <c r="B191" s="3">
        <v>46011</v>
      </c>
      <c r="C191" t="s">
        <v>7</v>
      </c>
      <c r="D191" t="s">
        <v>224</v>
      </c>
      <c r="E191" t="s">
        <v>8</v>
      </c>
      <c r="F191" s="4">
        <v>23.04</v>
      </c>
      <c r="G191" s="4">
        <v>4.78</v>
      </c>
    </row>
    <row r="192" spans="1:7">
      <c r="A192" t="s">
        <v>289</v>
      </c>
      <c r="B192" s="3">
        <v>46078</v>
      </c>
      <c r="C192" t="s">
        <v>5</v>
      </c>
      <c r="D192" t="s">
        <v>6</v>
      </c>
      <c r="E192" t="s">
        <v>8</v>
      </c>
      <c r="F192" s="4">
        <v>15.45</v>
      </c>
      <c r="G192" s="4"/>
    </row>
    <row r="193" spans="1:7">
      <c r="A193" t="s">
        <v>139</v>
      </c>
      <c r="B193" s="3">
        <v>46180</v>
      </c>
      <c r="C193" t="s">
        <v>5</v>
      </c>
      <c r="D193" t="s">
        <v>226</v>
      </c>
      <c r="E193" t="s">
        <v>15</v>
      </c>
      <c r="F193" s="4">
        <v>26.73</v>
      </c>
      <c r="G193" s="4">
        <v>11.33</v>
      </c>
    </row>
    <row r="194" spans="1:7">
      <c r="A194" t="s">
        <v>140</v>
      </c>
      <c r="B194" s="3">
        <v>45965</v>
      </c>
      <c r="C194" t="s">
        <v>21</v>
      </c>
      <c r="D194" t="s">
        <v>226</v>
      </c>
      <c r="E194" t="s">
        <v>12</v>
      </c>
      <c r="F194" s="4">
        <v>24.66</v>
      </c>
      <c r="G194" s="4">
        <v>8.2799999999999994</v>
      </c>
    </row>
    <row r="195" spans="1:7">
      <c r="A195" t="s">
        <v>141</v>
      </c>
      <c r="B195" s="3">
        <v>45948</v>
      </c>
      <c r="C195" t="s">
        <v>5</v>
      </c>
      <c r="D195" t="s">
        <v>224</v>
      </c>
      <c r="E195" t="s">
        <v>6</v>
      </c>
      <c r="F195" s="4">
        <v>24.68</v>
      </c>
      <c r="G195" s="4">
        <v>3.85</v>
      </c>
    </row>
    <row r="196" spans="1:7">
      <c r="A196" t="s">
        <v>142</v>
      </c>
      <c r="B196" s="3">
        <v>46022</v>
      </c>
      <c r="C196" t="s">
        <v>5</v>
      </c>
      <c r="D196" t="s">
        <v>226</v>
      </c>
      <c r="E196" t="s">
        <v>15</v>
      </c>
      <c r="F196" s="4">
        <v>15.45</v>
      </c>
      <c r="G196" s="4">
        <v>1.82</v>
      </c>
    </row>
    <row r="197" spans="1:7">
      <c r="A197" t="s">
        <v>290</v>
      </c>
      <c r="B197" s="3">
        <v>46206</v>
      </c>
      <c r="C197" t="s">
        <v>19</v>
      </c>
      <c r="D197" t="s">
        <v>226</v>
      </c>
      <c r="E197" t="s">
        <v>8</v>
      </c>
      <c r="F197" s="4">
        <v>3.76</v>
      </c>
      <c r="G197" s="4"/>
    </row>
    <row r="198" spans="1:7">
      <c r="A198" t="s">
        <v>291</v>
      </c>
      <c r="B198" s="3">
        <v>45757</v>
      </c>
      <c r="C198" t="s">
        <v>19</v>
      </c>
      <c r="D198" t="s">
        <v>226</v>
      </c>
      <c r="E198" t="s">
        <v>15</v>
      </c>
      <c r="F198" s="4">
        <v>26.61</v>
      </c>
      <c r="G198" s="4"/>
    </row>
    <row r="199" spans="1:7">
      <c r="A199" t="s">
        <v>143</v>
      </c>
      <c r="B199" s="3">
        <v>45838</v>
      </c>
      <c r="C199" t="s">
        <v>9</v>
      </c>
      <c r="D199" t="s">
        <v>224</v>
      </c>
      <c r="E199" t="s">
        <v>15</v>
      </c>
      <c r="F199" s="4">
        <v>9.9499999999999993</v>
      </c>
      <c r="G199" s="4">
        <v>2.6</v>
      </c>
    </row>
    <row r="200" spans="1:7">
      <c r="A200" t="s">
        <v>292</v>
      </c>
      <c r="B200" s="3"/>
      <c r="C200" t="s">
        <v>5</v>
      </c>
      <c r="D200" t="s">
        <v>6</v>
      </c>
      <c r="E200" t="s">
        <v>8</v>
      </c>
      <c r="F200" s="4">
        <v>24.94</v>
      </c>
      <c r="G200" s="4">
        <v>4.74</v>
      </c>
    </row>
    <row r="201" spans="1:7">
      <c r="A201" t="s">
        <v>293</v>
      </c>
      <c r="B201" s="3">
        <v>46143</v>
      </c>
      <c r="C201" t="s">
        <v>21</v>
      </c>
      <c r="E201" t="s">
        <v>8</v>
      </c>
      <c r="F201" s="4">
        <v>15.56</v>
      </c>
      <c r="G201" s="4">
        <v>2.5299999999999998</v>
      </c>
    </row>
    <row r="202" spans="1:7">
      <c r="A202" t="s">
        <v>144</v>
      </c>
      <c r="B202" s="3">
        <v>45961</v>
      </c>
      <c r="C202" t="s">
        <v>5</v>
      </c>
      <c r="D202" t="s">
        <v>224</v>
      </c>
      <c r="E202" t="s">
        <v>8</v>
      </c>
      <c r="F202" s="4">
        <v>24.78</v>
      </c>
      <c r="G202" s="4">
        <v>-1</v>
      </c>
    </row>
    <row r="203" spans="1:7">
      <c r="A203" t="s">
        <v>145</v>
      </c>
      <c r="B203" s="3">
        <v>46058</v>
      </c>
      <c r="C203" t="s">
        <v>7</v>
      </c>
      <c r="D203" t="s">
        <v>226</v>
      </c>
      <c r="E203" t="s">
        <v>12</v>
      </c>
      <c r="F203" s="4">
        <v>29.57</v>
      </c>
      <c r="G203" s="4">
        <v>2.52</v>
      </c>
    </row>
    <row r="204" spans="1:7">
      <c r="A204" t="s">
        <v>146</v>
      </c>
      <c r="B204" s="3">
        <v>45890</v>
      </c>
      <c r="C204" t="s">
        <v>5</v>
      </c>
      <c r="D204" t="s">
        <v>6</v>
      </c>
      <c r="E204" t="s">
        <v>8</v>
      </c>
      <c r="F204" s="4">
        <v>20.79</v>
      </c>
      <c r="G204" s="4">
        <v>2.52</v>
      </c>
    </row>
    <row r="205" spans="1:7">
      <c r="A205" t="s">
        <v>147</v>
      </c>
      <c r="B205" s="3">
        <v>46094</v>
      </c>
      <c r="C205" t="s">
        <v>5</v>
      </c>
      <c r="D205" t="s">
        <v>226</v>
      </c>
      <c r="E205" t="s">
        <v>8</v>
      </c>
      <c r="F205" s="4">
        <v>22.64</v>
      </c>
      <c r="G205" s="4">
        <v>3.96</v>
      </c>
    </row>
    <row r="206" spans="1:7">
      <c r="A206" t="s">
        <v>148</v>
      </c>
      <c r="B206" s="3">
        <v>45887</v>
      </c>
      <c r="C206" t="s">
        <v>19</v>
      </c>
      <c r="D206" t="s">
        <v>226</v>
      </c>
      <c r="E206" t="s">
        <v>8</v>
      </c>
      <c r="F206" s="4">
        <v>25.84</v>
      </c>
      <c r="G206" s="4">
        <v>5.2</v>
      </c>
    </row>
    <row r="207" spans="1:7">
      <c r="A207" t="s">
        <v>294</v>
      </c>
      <c r="B207" s="3"/>
      <c r="C207" t="s">
        <v>14</v>
      </c>
      <c r="D207" t="s">
        <v>226</v>
      </c>
      <c r="E207" t="s">
        <v>12</v>
      </c>
      <c r="F207" s="4">
        <v>32.549999999999997</v>
      </c>
      <c r="G207" s="4">
        <v>3.06</v>
      </c>
    </row>
    <row r="208" spans="1:7">
      <c r="A208" t="s">
        <v>295</v>
      </c>
      <c r="B208" s="3">
        <v>46080</v>
      </c>
      <c r="C208" t="s">
        <v>5</v>
      </c>
      <c r="D208" t="s">
        <v>224</v>
      </c>
      <c r="E208" t="s">
        <v>12</v>
      </c>
      <c r="F208" s="4">
        <v>21.39</v>
      </c>
      <c r="G208" s="4"/>
    </row>
    <row r="209" spans="1:7">
      <c r="A209" t="s">
        <v>149</v>
      </c>
      <c r="B209" s="3">
        <v>45672</v>
      </c>
      <c r="C209" t="s">
        <v>5</v>
      </c>
      <c r="D209" t="s">
        <v>226</v>
      </c>
      <c r="E209" t="s">
        <v>8</v>
      </c>
      <c r="F209" s="4">
        <v>9.7200000000000006</v>
      </c>
      <c r="G209" s="4">
        <v>2.15</v>
      </c>
    </row>
    <row r="210" spans="1:7">
      <c r="A210" t="s">
        <v>296</v>
      </c>
      <c r="B210" s="3">
        <v>46083</v>
      </c>
      <c r="C210" t="s">
        <v>5</v>
      </c>
      <c r="D210" t="s">
        <v>6</v>
      </c>
      <c r="F210" s="4">
        <v>65.06</v>
      </c>
      <c r="G210" s="4">
        <v>14.27</v>
      </c>
    </row>
    <row r="211" spans="1:7">
      <c r="A211" t="s">
        <v>150</v>
      </c>
      <c r="B211" s="3">
        <v>45883</v>
      </c>
      <c r="C211" t="s">
        <v>5</v>
      </c>
      <c r="D211" t="s">
        <v>224</v>
      </c>
      <c r="E211" t="s">
        <v>297</v>
      </c>
      <c r="F211" s="4">
        <v>14.03</v>
      </c>
      <c r="G211" s="4">
        <v>4.5599999999999996</v>
      </c>
    </row>
    <row r="212" spans="1:7">
      <c r="A212" t="s">
        <v>151</v>
      </c>
      <c r="B212" s="3">
        <v>45980</v>
      </c>
      <c r="C212" t="s">
        <v>5</v>
      </c>
      <c r="D212" t="s">
        <v>224</v>
      </c>
      <c r="E212" t="s">
        <v>15</v>
      </c>
      <c r="F212" s="4">
        <v>62.43</v>
      </c>
      <c r="G212" s="4">
        <v>4.74</v>
      </c>
    </row>
    <row r="213" spans="1:7">
      <c r="A213" t="s">
        <v>152</v>
      </c>
      <c r="B213" s="3">
        <v>45778</v>
      </c>
      <c r="C213" t="s">
        <v>5</v>
      </c>
      <c r="D213" t="s">
        <v>226</v>
      </c>
      <c r="E213" t="s">
        <v>12</v>
      </c>
      <c r="F213" s="4">
        <v>6.32</v>
      </c>
      <c r="G213" s="4">
        <v>4.3</v>
      </c>
    </row>
    <row r="214" spans="1:7">
      <c r="A214" t="s">
        <v>298</v>
      </c>
      <c r="B214" s="3"/>
      <c r="C214" t="s">
        <v>14</v>
      </c>
      <c r="D214" t="s">
        <v>224</v>
      </c>
      <c r="E214" t="s">
        <v>8</v>
      </c>
      <c r="F214" s="4">
        <v>19.41</v>
      </c>
      <c r="G214" s="4">
        <v>3.05</v>
      </c>
    </row>
    <row r="215" spans="1:7">
      <c r="A215" t="s">
        <v>299</v>
      </c>
      <c r="B215" s="3">
        <v>46081</v>
      </c>
      <c r="C215" t="s">
        <v>19</v>
      </c>
      <c r="D215" t="s">
        <v>226</v>
      </c>
      <c r="E215" t="s">
        <v>12</v>
      </c>
      <c r="F215" s="4"/>
      <c r="G215" s="4">
        <v>0.9</v>
      </c>
    </row>
    <row r="216" spans="1:7">
      <c r="A216" t="s">
        <v>153</v>
      </c>
      <c r="B216" s="3">
        <v>45830</v>
      </c>
      <c r="C216" t="s">
        <v>19</v>
      </c>
      <c r="D216" t="s">
        <v>226</v>
      </c>
      <c r="E216" t="s">
        <v>8</v>
      </c>
      <c r="F216" s="4">
        <v>2.3199999999999998</v>
      </c>
      <c r="G216" s="4">
        <v>2.81</v>
      </c>
    </row>
    <row r="217" spans="1:7">
      <c r="A217" t="s">
        <v>154</v>
      </c>
      <c r="B217" s="3">
        <v>46113</v>
      </c>
      <c r="C217" t="s">
        <v>5</v>
      </c>
      <c r="D217" t="s">
        <v>226</v>
      </c>
      <c r="E217" t="s">
        <v>12</v>
      </c>
      <c r="F217" s="4">
        <v>17.739999999999998</v>
      </c>
      <c r="G217" s="4">
        <v>7.45</v>
      </c>
    </row>
    <row r="218" spans="1:7">
      <c r="A218" t="s">
        <v>155</v>
      </c>
      <c r="B218" s="3">
        <v>45690</v>
      </c>
      <c r="C218" t="s">
        <v>19</v>
      </c>
      <c r="D218" t="s">
        <v>226</v>
      </c>
      <c r="E218" t="s">
        <v>12</v>
      </c>
      <c r="F218" s="4">
        <v>23.68</v>
      </c>
      <c r="G218" s="4">
        <v>1.71</v>
      </c>
    </row>
    <row r="219" spans="1:7">
      <c r="A219" t="s">
        <v>156</v>
      </c>
      <c r="B219" s="3">
        <v>45709</v>
      </c>
      <c r="C219" t="s">
        <v>5</v>
      </c>
      <c r="D219" t="s">
        <v>224</v>
      </c>
      <c r="E219" t="s">
        <v>12</v>
      </c>
      <c r="F219" s="4">
        <v>35.46</v>
      </c>
      <c r="G219" s="4">
        <v>5.05</v>
      </c>
    </row>
    <row r="220" spans="1:7">
      <c r="A220" t="s">
        <v>157</v>
      </c>
      <c r="B220" s="3">
        <v>45658</v>
      </c>
      <c r="C220" t="s">
        <v>5</v>
      </c>
      <c r="D220" t="s">
        <v>6</v>
      </c>
      <c r="E220" t="s">
        <v>15</v>
      </c>
      <c r="F220" s="4">
        <v>13.45</v>
      </c>
      <c r="G220" s="4">
        <v>1.64</v>
      </c>
    </row>
    <row r="221" spans="1:7">
      <c r="A221" t="s">
        <v>158</v>
      </c>
      <c r="B221" s="3">
        <v>45949</v>
      </c>
      <c r="C221" t="s">
        <v>7</v>
      </c>
      <c r="D221" t="s">
        <v>224</v>
      </c>
      <c r="E221" t="s">
        <v>12</v>
      </c>
      <c r="F221" s="4">
        <v>22.84</v>
      </c>
      <c r="G221" s="4">
        <v>3.13</v>
      </c>
    </row>
    <row r="222" spans="1:7">
      <c r="A222" t="s">
        <v>300</v>
      </c>
      <c r="B222" s="3">
        <v>46210</v>
      </c>
      <c r="C222" t="s">
        <v>19</v>
      </c>
      <c r="D222" t="s">
        <v>224</v>
      </c>
      <c r="E222" t="s">
        <v>15</v>
      </c>
      <c r="F222" s="4">
        <v>24.38</v>
      </c>
      <c r="G222" s="4"/>
    </row>
    <row r="223" spans="1:7">
      <c r="A223" t="s">
        <v>159</v>
      </c>
      <c r="B223" s="3">
        <v>45702</v>
      </c>
      <c r="C223" t="s">
        <v>14</v>
      </c>
      <c r="D223" t="s">
        <v>6</v>
      </c>
      <c r="E223" t="s">
        <v>6</v>
      </c>
      <c r="F223" s="4">
        <v>63.52</v>
      </c>
      <c r="G223" s="4">
        <v>12.64</v>
      </c>
    </row>
    <row r="224" spans="1:7">
      <c r="A224" t="s">
        <v>160</v>
      </c>
      <c r="B224" s="3">
        <v>45785</v>
      </c>
      <c r="C224" t="s">
        <v>5</v>
      </c>
      <c r="D224" t="s">
        <v>226</v>
      </c>
      <c r="E224" t="s">
        <v>6</v>
      </c>
      <c r="F224" s="4">
        <v>36.04</v>
      </c>
      <c r="G224" s="4">
        <v>12.56</v>
      </c>
    </row>
    <row r="225" spans="1:7">
      <c r="A225" t="s">
        <v>301</v>
      </c>
      <c r="B225" s="3">
        <v>46084</v>
      </c>
      <c r="C225" t="s">
        <v>19</v>
      </c>
      <c r="D225" t="s">
        <v>226</v>
      </c>
      <c r="E225" t="s">
        <v>12</v>
      </c>
      <c r="F225" s="4"/>
      <c r="G225" s="4">
        <v>6.72</v>
      </c>
    </row>
    <row r="226" spans="1:7">
      <c r="A226" t="s">
        <v>161</v>
      </c>
      <c r="B226" s="3">
        <v>46207</v>
      </c>
      <c r="C226" t="s">
        <v>9</v>
      </c>
      <c r="D226" t="s">
        <v>6</v>
      </c>
      <c r="E226" t="s">
        <v>8</v>
      </c>
      <c r="F226" s="4">
        <v>27.05</v>
      </c>
      <c r="G226" s="4">
        <v>5.29</v>
      </c>
    </row>
    <row r="227" spans="1:7">
      <c r="A227" t="s">
        <v>162</v>
      </c>
      <c r="B227" s="3">
        <v>46117</v>
      </c>
      <c r="C227" t="s">
        <v>14</v>
      </c>
      <c r="D227" t="s">
        <v>6</v>
      </c>
      <c r="E227" t="s">
        <v>8</v>
      </c>
      <c r="F227" s="4">
        <v>21.11</v>
      </c>
      <c r="G227" s="4">
        <v>1.01</v>
      </c>
    </row>
    <row r="228" spans="1:7">
      <c r="A228" t="s">
        <v>163</v>
      </c>
      <c r="B228" s="3">
        <v>45862</v>
      </c>
      <c r="C228" t="s">
        <v>21</v>
      </c>
      <c r="D228" t="s">
        <v>226</v>
      </c>
      <c r="E228" t="s">
        <v>6</v>
      </c>
      <c r="F228" s="4">
        <v>67.5</v>
      </c>
      <c r="G228" s="4">
        <v>7.04</v>
      </c>
    </row>
    <row r="229" spans="1:7">
      <c r="A229" t="s">
        <v>164</v>
      </c>
      <c r="B229" s="3">
        <v>45969</v>
      </c>
      <c r="C229" t="s">
        <v>7</v>
      </c>
      <c r="D229" t="s">
        <v>226</v>
      </c>
      <c r="E229" t="s">
        <v>12</v>
      </c>
      <c r="F229" s="4">
        <v>15.92</v>
      </c>
      <c r="G229" s="4" t="s">
        <v>263</v>
      </c>
    </row>
    <row r="230" spans="1:7">
      <c r="A230" t="s">
        <v>165</v>
      </c>
      <c r="B230" s="3">
        <v>45748</v>
      </c>
      <c r="C230" t="s">
        <v>19</v>
      </c>
      <c r="D230" t="s">
        <v>224</v>
      </c>
      <c r="E230" t="s">
        <v>8</v>
      </c>
      <c r="F230" s="4">
        <v>8.94</v>
      </c>
      <c r="G230" s="4">
        <v>5.24</v>
      </c>
    </row>
    <row r="231" spans="1:7">
      <c r="B231" s="3">
        <v>45985</v>
      </c>
      <c r="C231" t="s">
        <v>9</v>
      </c>
      <c r="D231" t="s">
        <v>6</v>
      </c>
      <c r="E231" t="s">
        <v>6</v>
      </c>
      <c r="F231" s="4">
        <v>23.37</v>
      </c>
      <c r="G231" s="4">
        <v>10.85</v>
      </c>
    </row>
    <row r="232" spans="1:7">
      <c r="A232" t="s">
        <v>166</v>
      </c>
      <c r="B232" s="3">
        <v>45756</v>
      </c>
      <c r="C232" t="s">
        <v>14</v>
      </c>
      <c r="D232" t="s">
        <v>224</v>
      </c>
      <c r="E232" t="s">
        <v>302</v>
      </c>
      <c r="F232" s="4">
        <v>7.2</v>
      </c>
      <c r="G232" s="4">
        <v>5.9</v>
      </c>
    </row>
    <row r="233" spans="1:7">
      <c r="A233" t="s">
        <v>303</v>
      </c>
      <c r="B233" s="3"/>
      <c r="C233" t="s">
        <v>19</v>
      </c>
      <c r="D233" t="s">
        <v>226</v>
      </c>
      <c r="E233" t="s">
        <v>12</v>
      </c>
      <c r="F233" s="4">
        <v>39.01</v>
      </c>
      <c r="G233" s="4">
        <v>8.2200000000000006</v>
      </c>
    </row>
    <row r="234" spans="1:7">
      <c r="A234" t="s">
        <v>167</v>
      </c>
      <c r="B234" s="3">
        <v>46021</v>
      </c>
      <c r="C234" t="s">
        <v>21</v>
      </c>
      <c r="D234" t="s">
        <v>226</v>
      </c>
      <c r="E234" t="s">
        <v>8</v>
      </c>
      <c r="F234" s="4">
        <v>7.92</v>
      </c>
      <c r="G234" s="4">
        <v>0.85</v>
      </c>
    </row>
    <row r="235" spans="1:7">
      <c r="A235" t="s">
        <v>168</v>
      </c>
      <c r="B235" s="3">
        <v>45786</v>
      </c>
      <c r="C235" t="s">
        <v>19</v>
      </c>
      <c r="D235" t="s">
        <v>226</v>
      </c>
      <c r="E235" t="s">
        <v>6</v>
      </c>
      <c r="F235" s="4">
        <v>22.25</v>
      </c>
      <c r="G235" s="4">
        <v>14.24</v>
      </c>
    </row>
    <row r="236" spans="1:7">
      <c r="A236" t="s">
        <v>169</v>
      </c>
      <c r="B236" s="3">
        <v>45870</v>
      </c>
      <c r="C236" t="s">
        <v>14</v>
      </c>
      <c r="D236" t="s">
        <v>224</v>
      </c>
      <c r="E236" t="s">
        <v>6</v>
      </c>
      <c r="F236" s="4">
        <v>88.28</v>
      </c>
      <c r="G236" s="4">
        <v>7.28</v>
      </c>
    </row>
    <row r="237" spans="1:7">
      <c r="A237" t="s">
        <v>304</v>
      </c>
      <c r="B237" s="3">
        <v>46048</v>
      </c>
      <c r="D237" t="s">
        <v>224</v>
      </c>
      <c r="E237" t="s">
        <v>12</v>
      </c>
      <c r="F237" s="4">
        <v>9.35</v>
      </c>
      <c r="G237" s="4">
        <v>4.5599999999999996</v>
      </c>
    </row>
    <row r="238" spans="1:7">
      <c r="A238" t="s">
        <v>170</v>
      </c>
      <c r="B238" s="3">
        <v>45928</v>
      </c>
      <c r="C238" t="s">
        <v>7</v>
      </c>
      <c r="D238" t="s">
        <v>226</v>
      </c>
      <c r="E238" t="s">
        <v>8</v>
      </c>
      <c r="F238" s="4">
        <v>10.02</v>
      </c>
      <c r="G238" s="4">
        <v>0.92</v>
      </c>
    </row>
    <row r="239" spans="1:7">
      <c r="B239" s="3">
        <v>45773</v>
      </c>
      <c r="C239" t="s">
        <v>5</v>
      </c>
      <c r="D239" t="s">
        <v>226</v>
      </c>
      <c r="E239" t="s">
        <v>12</v>
      </c>
      <c r="F239" s="4">
        <v>3.84</v>
      </c>
      <c r="G239" s="4">
        <v>3.97</v>
      </c>
    </row>
    <row r="240" spans="1:7">
      <c r="A240" t="s">
        <v>171</v>
      </c>
      <c r="B240" s="3">
        <v>46138</v>
      </c>
      <c r="C240" t="s">
        <v>5</v>
      </c>
      <c r="D240" t="s">
        <v>226</v>
      </c>
      <c r="E240" t="s">
        <v>15</v>
      </c>
      <c r="F240" s="4">
        <v>23.89</v>
      </c>
      <c r="G240" s="4">
        <v>6.35</v>
      </c>
    </row>
    <row r="241" spans="1:7">
      <c r="B241" s="3">
        <v>46147</v>
      </c>
      <c r="C241" t="s">
        <v>7</v>
      </c>
      <c r="D241" t="s">
        <v>224</v>
      </c>
      <c r="E241" t="s">
        <v>8</v>
      </c>
      <c r="F241" s="4">
        <v>8.2899999999999991</v>
      </c>
      <c r="G241" s="4">
        <v>3.55</v>
      </c>
    </row>
    <row r="242" spans="1:7">
      <c r="A242" t="s">
        <v>172</v>
      </c>
      <c r="B242" s="3">
        <v>45794</v>
      </c>
      <c r="C242" t="s">
        <v>5</v>
      </c>
      <c r="D242" t="s">
        <v>224</v>
      </c>
      <c r="E242" t="s">
        <v>8</v>
      </c>
      <c r="F242" s="4">
        <v>15.36</v>
      </c>
      <c r="G242" s="4">
        <v>0.61</v>
      </c>
    </row>
    <row r="243" spans="1:7">
      <c r="A243" t="s">
        <v>305</v>
      </c>
      <c r="B243" s="3">
        <v>45840</v>
      </c>
      <c r="C243" t="s">
        <v>9</v>
      </c>
      <c r="D243" t="s">
        <v>224</v>
      </c>
      <c r="E243" t="s">
        <v>12</v>
      </c>
      <c r="F243" s="4"/>
      <c r="G243" s="4">
        <v>5.53</v>
      </c>
    </row>
    <row r="244" spans="1:7">
      <c r="A244" t="s">
        <v>173</v>
      </c>
      <c r="B244" s="3">
        <v>46066</v>
      </c>
      <c r="C244" t="s">
        <v>19</v>
      </c>
      <c r="D244" t="s">
        <v>226</v>
      </c>
      <c r="E244" t="s">
        <v>15</v>
      </c>
      <c r="F244" s="4">
        <v>-7</v>
      </c>
      <c r="G244" s="4">
        <v>5.29</v>
      </c>
    </row>
    <row r="245" spans="1:7">
      <c r="A245" t="s">
        <v>306</v>
      </c>
      <c r="B245" s="3"/>
      <c r="C245" t="s">
        <v>5</v>
      </c>
      <c r="E245" t="s">
        <v>6</v>
      </c>
      <c r="F245" s="4">
        <v>23.01</v>
      </c>
      <c r="G245" s="4">
        <v>7.46</v>
      </c>
    </row>
    <row r="246" spans="1:7">
      <c r="A246" t="s">
        <v>174</v>
      </c>
      <c r="B246" s="3">
        <v>45698</v>
      </c>
      <c r="C246" t="s">
        <v>5</v>
      </c>
      <c r="D246" t="s">
        <v>226</v>
      </c>
      <c r="E246" t="s">
        <v>12</v>
      </c>
      <c r="F246" s="4">
        <v>25.5</v>
      </c>
      <c r="G246" s="4">
        <v>4.5999999999999996</v>
      </c>
    </row>
    <row r="247" spans="1:7">
      <c r="A247" t="s">
        <v>175</v>
      </c>
      <c r="B247" s="3">
        <v>45908</v>
      </c>
      <c r="C247" t="s">
        <v>5</v>
      </c>
      <c r="D247" t="s">
        <v>226</v>
      </c>
      <c r="E247" t="s">
        <v>15</v>
      </c>
      <c r="F247" s="4">
        <v>25.47</v>
      </c>
      <c r="G247" s="4">
        <v>11.17</v>
      </c>
    </row>
    <row r="248" spans="1:7">
      <c r="A248" t="s">
        <v>307</v>
      </c>
      <c r="B248" s="3">
        <v>45944</v>
      </c>
      <c r="D248" t="s">
        <v>224</v>
      </c>
      <c r="E248" t="s">
        <v>12</v>
      </c>
      <c r="F248" s="4">
        <v>26.32</v>
      </c>
      <c r="G248" s="4">
        <v>4.3099999999999996</v>
      </c>
    </row>
    <row r="249" spans="1:7">
      <c r="A249" t="s">
        <v>176</v>
      </c>
      <c r="B249" s="3">
        <v>45917</v>
      </c>
      <c r="C249" t="s">
        <v>5</v>
      </c>
      <c r="D249" t="s">
        <v>226</v>
      </c>
      <c r="E249" t="s">
        <v>8</v>
      </c>
      <c r="F249" s="4">
        <v>9.1300000000000008</v>
      </c>
      <c r="G249" s="4">
        <v>3.72</v>
      </c>
    </row>
    <row r="250" spans="1:7">
      <c r="A250" t="s">
        <v>177</v>
      </c>
      <c r="B250" s="3">
        <v>46054</v>
      </c>
      <c r="C250" t="s">
        <v>9</v>
      </c>
      <c r="D250" t="s">
        <v>226</v>
      </c>
      <c r="E250" t="s">
        <v>12</v>
      </c>
      <c r="F250" s="4">
        <v>14.88</v>
      </c>
      <c r="G250" s="4">
        <v>2.94</v>
      </c>
    </row>
    <row r="251" spans="1:7">
      <c r="A251" t="s">
        <v>178</v>
      </c>
      <c r="B251" s="3">
        <v>45798</v>
      </c>
      <c r="C251" t="s">
        <v>7</v>
      </c>
      <c r="D251" t="s">
        <v>226</v>
      </c>
      <c r="E251" t="s">
        <v>15</v>
      </c>
      <c r="F251" s="4">
        <v>44.9</v>
      </c>
      <c r="G251" s="4">
        <v>3.69</v>
      </c>
    </row>
    <row r="252" spans="1:7">
      <c r="A252" t="s">
        <v>308</v>
      </c>
      <c r="B252" s="3">
        <v>46136</v>
      </c>
      <c r="C252" t="s">
        <v>19</v>
      </c>
      <c r="D252" t="s">
        <v>226</v>
      </c>
      <c r="E252" t="s">
        <v>8</v>
      </c>
      <c r="F252" s="4"/>
      <c r="G252" s="4">
        <v>1.8</v>
      </c>
    </row>
    <row r="253" spans="1:7">
      <c r="A253" t="s">
        <v>179</v>
      </c>
      <c r="B253" s="3">
        <v>45930</v>
      </c>
      <c r="C253" t="s">
        <v>21</v>
      </c>
      <c r="D253" t="s">
        <v>224</v>
      </c>
      <c r="E253" t="s">
        <v>8</v>
      </c>
      <c r="F253" s="4">
        <v>13.87</v>
      </c>
      <c r="G253" s="4">
        <v>3.75</v>
      </c>
    </row>
    <row r="254" spans="1:7">
      <c r="A254" t="s">
        <v>180</v>
      </c>
      <c r="B254" s="3" t="s">
        <v>273</v>
      </c>
      <c r="C254" t="s">
        <v>7</v>
      </c>
      <c r="D254" t="s">
        <v>6</v>
      </c>
      <c r="E254" t="s">
        <v>15</v>
      </c>
      <c r="F254" s="4">
        <v>36.42</v>
      </c>
      <c r="G254" s="4">
        <v>7.09</v>
      </c>
    </row>
    <row r="255" spans="1:7">
      <c r="A255" t="s">
        <v>309</v>
      </c>
      <c r="B255" s="3">
        <v>46013</v>
      </c>
      <c r="D255" t="s">
        <v>226</v>
      </c>
      <c r="E255" t="s">
        <v>8</v>
      </c>
      <c r="F255" s="4">
        <v>22.5</v>
      </c>
      <c r="G255" s="4">
        <v>0.82</v>
      </c>
    </row>
    <row r="256" spans="1:7">
      <c r="A256" t="s">
        <v>310</v>
      </c>
      <c r="B256" s="3">
        <v>46072</v>
      </c>
      <c r="C256" t="s">
        <v>9</v>
      </c>
      <c r="D256" t="s">
        <v>226</v>
      </c>
      <c r="E256" t="s">
        <v>15</v>
      </c>
      <c r="F256" s="4">
        <v>50.58</v>
      </c>
      <c r="G256" s="4"/>
    </row>
    <row r="257" spans="1:7">
      <c r="A257" t="s">
        <v>181</v>
      </c>
      <c r="B257" s="3">
        <v>45991</v>
      </c>
      <c r="C257" t="s">
        <v>5</v>
      </c>
      <c r="D257" t="s">
        <v>226</v>
      </c>
      <c r="E257" t="s">
        <v>8</v>
      </c>
      <c r="F257" s="4">
        <v>5.48</v>
      </c>
      <c r="G257" s="4">
        <v>3.58</v>
      </c>
    </row>
    <row r="258" spans="1:7">
      <c r="A258" t="s">
        <v>81</v>
      </c>
      <c r="B258" s="3">
        <v>45747</v>
      </c>
      <c r="C258" t="s">
        <v>182</v>
      </c>
      <c r="D258" t="s">
        <v>224</v>
      </c>
      <c r="E258" t="s">
        <v>12</v>
      </c>
      <c r="F258" s="4">
        <v>42.55</v>
      </c>
      <c r="G258" s="4">
        <v>3.67</v>
      </c>
    </row>
    <row r="259" spans="1:7">
      <c r="B259" s="3">
        <v>45758</v>
      </c>
      <c r="C259" t="s">
        <v>21</v>
      </c>
      <c r="D259" t="s">
        <v>6</v>
      </c>
      <c r="E259" t="s">
        <v>8</v>
      </c>
      <c r="F259" s="4">
        <v>17.16</v>
      </c>
      <c r="G259" s="4">
        <v>2.1800000000000002</v>
      </c>
    </row>
    <row r="260" spans="1:7">
      <c r="A260" t="s">
        <v>183</v>
      </c>
      <c r="B260" s="3">
        <v>46009</v>
      </c>
      <c r="C260" t="s">
        <v>5</v>
      </c>
      <c r="D260" t="s">
        <v>224</v>
      </c>
      <c r="E260" t="s">
        <v>12</v>
      </c>
      <c r="F260" s="4">
        <v>21.12</v>
      </c>
      <c r="G260" s="4">
        <v>8.4700000000000006</v>
      </c>
    </row>
    <row r="261" spans="1:7">
      <c r="A261" t="s">
        <v>184</v>
      </c>
      <c r="B261" s="3">
        <v>45680</v>
      </c>
      <c r="C261" t="s">
        <v>14</v>
      </c>
      <c r="D261" t="s">
        <v>6</v>
      </c>
      <c r="E261" t="s">
        <v>15</v>
      </c>
      <c r="F261" s="4">
        <v>10.84</v>
      </c>
      <c r="G261" s="4">
        <v>11</v>
      </c>
    </row>
    <row r="262" spans="1:7">
      <c r="A262" t="s">
        <v>185</v>
      </c>
      <c r="B262" s="3">
        <v>45986</v>
      </c>
      <c r="C262" t="s">
        <v>5</v>
      </c>
      <c r="D262" t="s">
        <v>226</v>
      </c>
      <c r="E262" t="s">
        <v>8</v>
      </c>
      <c r="F262" s="4">
        <v>15.56</v>
      </c>
      <c r="G262" s="4">
        <v>3.93</v>
      </c>
    </row>
    <row r="263" spans="1:7">
      <c r="A263" t="s">
        <v>311</v>
      </c>
      <c r="B263" s="3">
        <v>45732</v>
      </c>
      <c r="D263" t="s">
        <v>226</v>
      </c>
      <c r="E263" t="s">
        <v>8</v>
      </c>
      <c r="F263" s="4">
        <v>11.62</v>
      </c>
      <c r="G263" s="4">
        <v>5.21</v>
      </c>
    </row>
    <row r="264" spans="1:7">
      <c r="A264" t="s">
        <v>312</v>
      </c>
      <c r="B264" s="3" t="s">
        <v>263</v>
      </c>
      <c r="C264" t="s">
        <v>7</v>
      </c>
      <c r="D264" t="s">
        <v>226</v>
      </c>
      <c r="E264" t="s">
        <v>8</v>
      </c>
      <c r="F264" s="4">
        <v>12.12</v>
      </c>
      <c r="G264" s="4"/>
    </row>
    <row r="265" spans="1:7">
      <c r="A265" t="s">
        <v>131</v>
      </c>
      <c r="B265" s="3">
        <v>45908</v>
      </c>
      <c r="C265" t="s">
        <v>5</v>
      </c>
      <c r="D265" t="s">
        <v>6</v>
      </c>
      <c r="E265" t="s">
        <v>8</v>
      </c>
      <c r="F265" s="4">
        <v>14.81</v>
      </c>
      <c r="G265" s="4">
        <v>3.18</v>
      </c>
    </row>
    <row r="266" spans="1:7">
      <c r="A266" t="s">
        <v>186</v>
      </c>
      <c r="B266" s="3">
        <v>45843</v>
      </c>
      <c r="C266" t="s">
        <v>5</v>
      </c>
      <c r="D266" t="s">
        <v>226</v>
      </c>
      <c r="E266" t="s">
        <v>15</v>
      </c>
      <c r="F266" s="4">
        <v>49.1</v>
      </c>
      <c r="G266" s="4">
        <v>10.32</v>
      </c>
    </row>
    <row r="267" spans="1:7">
      <c r="A267" t="s">
        <v>187</v>
      </c>
      <c r="B267" s="3">
        <v>45735</v>
      </c>
      <c r="C267" t="s">
        <v>5</v>
      </c>
      <c r="D267" t="s">
        <v>226</v>
      </c>
      <c r="E267" t="s">
        <v>15</v>
      </c>
      <c r="F267" s="4">
        <v>54.97</v>
      </c>
      <c r="G267" s="4">
        <v>12.67</v>
      </c>
    </row>
    <row r="268" spans="1:7">
      <c r="A268" t="s">
        <v>188</v>
      </c>
      <c r="B268" s="3">
        <v>46049</v>
      </c>
      <c r="C268" t="s">
        <v>189</v>
      </c>
      <c r="D268" t="s">
        <v>224</v>
      </c>
      <c r="E268" t="s">
        <v>8</v>
      </c>
      <c r="F268" s="4">
        <v>4.22</v>
      </c>
      <c r="G268" s="4">
        <v>2.74</v>
      </c>
    </row>
    <row r="269" spans="1:7">
      <c r="A269" t="s">
        <v>313</v>
      </c>
      <c r="B269" s="3"/>
      <c r="C269" t="s">
        <v>7</v>
      </c>
      <c r="D269" t="s">
        <v>226</v>
      </c>
      <c r="E269" t="s">
        <v>8</v>
      </c>
      <c r="F269" s="4">
        <v>21.55</v>
      </c>
      <c r="G269" s="4">
        <v>3.17</v>
      </c>
    </row>
    <row r="270" spans="1:7">
      <c r="A270" t="s">
        <v>314</v>
      </c>
      <c r="B270" s="3">
        <v>46170</v>
      </c>
      <c r="C270" t="s">
        <v>5</v>
      </c>
      <c r="D270" t="s">
        <v>6</v>
      </c>
      <c r="E270" t="s">
        <v>6</v>
      </c>
      <c r="F270" s="4"/>
      <c r="G270" s="4">
        <v>4.51</v>
      </c>
    </row>
    <row r="271" spans="1:7">
      <c r="A271" t="s">
        <v>315</v>
      </c>
      <c r="B271" s="3">
        <v>46096</v>
      </c>
      <c r="C271" t="s">
        <v>14</v>
      </c>
      <c r="E271" t="s">
        <v>15</v>
      </c>
      <c r="F271" s="4">
        <v>68.010000000000005</v>
      </c>
      <c r="G271" s="4">
        <v>8.84</v>
      </c>
    </row>
    <row r="272" spans="1:7">
      <c r="A272" t="s">
        <v>316</v>
      </c>
      <c r="B272" s="3">
        <v>45901</v>
      </c>
      <c r="C272" t="s">
        <v>19</v>
      </c>
      <c r="D272" t="s">
        <v>6</v>
      </c>
      <c r="F272" s="4">
        <v>63.67</v>
      </c>
      <c r="G272" s="4">
        <v>2.74</v>
      </c>
    </row>
    <row r="273" spans="1:7">
      <c r="A273" t="s">
        <v>190</v>
      </c>
      <c r="B273" s="3">
        <v>46196</v>
      </c>
      <c r="C273" t="s">
        <v>5</v>
      </c>
      <c r="D273" t="s">
        <v>224</v>
      </c>
      <c r="E273" t="s">
        <v>12</v>
      </c>
      <c r="F273" s="4">
        <v>18.34</v>
      </c>
      <c r="G273" s="4">
        <v>4.75</v>
      </c>
    </row>
    <row r="274" spans="1:7">
      <c r="A274" t="s">
        <v>191</v>
      </c>
      <c r="B274" s="3">
        <v>45874</v>
      </c>
      <c r="C274" t="s">
        <v>5</v>
      </c>
      <c r="D274" t="s">
        <v>226</v>
      </c>
      <c r="E274" t="s">
        <v>8</v>
      </c>
      <c r="F274" s="4">
        <v>6.37</v>
      </c>
      <c r="G274" s="4">
        <v>2.95</v>
      </c>
    </row>
    <row r="275" spans="1:7">
      <c r="A275" t="s">
        <v>192</v>
      </c>
      <c r="B275" s="3">
        <v>45736</v>
      </c>
      <c r="C275" t="s">
        <v>5</v>
      </c>
      <c r="D275" t="s">
        <v>6</v>
      </c>
      <c r="E275" t="s">
        <v>8</v>
      </c>
      <c r="F275" s="4">
        <v>12.88</v>
      </c>
      <c r="G275" s="4">
        <v>1.1499999999999999</v>
      </c>
    </row>
    <row r="276" spans="1:7">
      <c r="A276" t="s">
        <v>317</v>
      </c>
      <c r="B276" s="3">
        <v>46220</v>
      </c>
      <c r="C276" t="s">
        <v>7</v>
      </c>
      <c r="D276" t="s">
        <v>226</v>
      </c>
      <c r="F276" s="4">
        <v>2.94</v>
      </c>
      <c r="G276" s="4">
        <v>5.03</v>
      </c>
    </row>
    <row r="277" spans="1:7">
      <c r="A277" t="s">
        <v>193</v>
      </c>
      <c r="B277" s="3">
        <v>46168</v>
      </c>
      <c r="C277" t="s">
        <v>5</v>
      </c>
      <c r="D277" t="s">
        <v>224</v>
      </c>
      <c r="E277" t="s">
        <v>15</v>
      </c>
      <c r="F277" s="4">
        <v>51.95</v>
      </c>
      <c r="G277" s="4">
        <v>5.16</v>
      </c>
    </row>
    <row r="278" spans="1:7">
      <c r="A278" t="s">
        <v>194</v>
      </c>
      <c r="B278" s="3">
        <v>45855</v>
      </c>
      <c r="C278" t="s">
        <v>7</v>
      </c>
      <c r="D278" t="s">
        <v>226</v>
      </c>
      <c r="E278" t="s">
        <v>8</v>
      </c>
      <c r="F278" s="4">
        <v>20.89</v>
      </c>
      <c r="G278" s="4">
        <v>2.4300000000000002</v>
      </c>
    </row>
    <row r="279" spans="1:7">
      <c r="A279" t="s">
        <v>195</v>
      </c>
      <c r="B279" s="3">
        <v>45880</v>
      </c>
      <c r="C279" t="s">
        <v>5</v>
      </c>
      <c r="D279" t="s">
        <v>226</v>
      </c>
      <c r="E279" t="s">
        <v>8</v>
      </c>
      <c r="F279" s="4">
        <v>18.14</v>
      </c>
      <c r="G279" s="4">
        <v>4.76</v>
      </c>
    </row>
    <row r="280" spans="1:7">
      <c r="A280" t="s">
        <v>318</v>
      </c>
      <c r="B280" s="3">
        <v>45853</v>
      </c>
      <c r="D280" t="s">
        <v>6</v>
      </c>
      <c r="E280" t="s">
        <v>15</v>
      </c>
      <c r="F280" s="4">
        <v>20.18</v>
      </c>
      <c r="G280" s="4">
        <v>10.14</v>
      </c>
    </row>
    <row r="281" spans="1:7">
      <c r="A281" t="s">
        <v>196</v>
      </c>
      <c r="B281" s="3">
        <v>46033</v>
      </c>
      <c r="C281" t="s">
        <v>5</v>
      </c>
      <c r="D281" t="s">
        <v>224</v>
      </c>
      <c r="E281" t="s">
        <v>15</v>
      </c>
      <c r="F281" s="4">
        <v>11.69</v>
      </c>
      <c r="G281" s="4">
        <v>1.96</v>
      </c>
    </row>
    <row r="282" spans="1:7">
      <c r="A282" t="s">
        <v>103</v>
      </c>
      <c r="B282" s="3">
        <v>45897</v>
      </c>
      <c r="C282" t="s">
        <v>19</v>
      </c>
      <c r="D282" t="s">
        <v>226</v>
      </c>
      <c r="E282" t="s">
        <v>15</v>
      </c>
      <c r="F282" s="4">
        <v>20.93</v>
      </c>
      <c r="G282" s="4">
        <v>3.94</v>
      </c>
    </row>
    <row r="283" spans="1:7">
      <c r="A283" t="s">
        <v>197</v>
      </c>
      <c r="B283" s="3">
        <v>45982</v>
      </c>
      <c r="C283" t="s">
        <v>9</v>
      </c>
      <c r="D283" t="s">
        <v>226</v>
      </c>
      <c r="E283" t="s">
        <v>12</v>
      </c>
      <c r="F283" s="4">
        <v>38.299999999999997</v>
      </c>
      <c r="G283" s="4">
        <v>4.96</v>
      </c>
    </row>
    <row r="284" spans="1:7">
      <c r="A284" t="s">
        <v>319</v>
      </c>
      <c r="B284" s="3">
        <v>45960</v>
      </c>
      <c r="C284" t="s">
        <v>21</v>
      </c>
      <c r="D284" t="s">
        <v>6</v>
      </c>
      <c r="E284" t="s">
        <v>12</v>
      </c>
      <c r="F284" s="4">
        <v>48</v>
      </c>
      <c r="G284" s="4"/>
    </row>
    <row r="285" spans="1:7">
      <c r="A285" t="s">
        <v>320</v>
      </c>
      <c r="B285" s="3">
        <v>45824</v>
      </c>
      <c r="C285" t="s">
        <v>5</v>
      </c>
      <c r="D285" t="s">
        <v>224</v>
      </c>
      <c r="E285" t="s">
        <v>12</v>
      </c>
      <c r="F285" s="4"/>
      <c r="G285" s="4">
        <v>1.93</v>
      </c>
    </row>
    <row r="286" spans="1:7">
      <c r="B286" s="3">
        <v>46174</v>
      </c>
      <c r="C286" t="s">
        <v>5</v>
      </c>
      <c r="D286" t="s">
        <v>224</v>
      </c>
      <c r="E286" t="s">
        <v>15</v>
      </c>
      <c r="F286" s="4">
        <v>28.12</v>
      </c>
      <c r="G286" s="4" t="s">
        <v>297</v>
      </c>
    </row>
    <row r="287" spans="1:7">
      <c r="A287" t="s">
        <v>198</v>
      </c>
      <c r="B287" s="3">
        <v>45911</v>
      </c>
      <c r="C287" t="s">
        <v>5</v>
      </c>
      <c r="D287" t="s">
        <v>224</v>
      </c>
      <c r="E287" t="s">
        <v>12</v>
      </c>
      <c r="F287" s="4">
        <v>45.51</v>
      </c>
      <c r="G287" s="4">
        <v>4.9800000000000004</v>
      </c>
    </row>
    <row r="288" spans="1:7">
      <c r="A288" t="s">
        <v>199</v>
      </c>
      <c r="B288" s="3">
        <v>45765</v>
      </c>
      <c r="C288" t="s">
        <v>5</v>
      </c>
      <c r="D288" t="s">
        <v>6</v>
      </c>
      <c r="E288" t="s">
        <v>12</v>
      </c>
      <c r="F288" s="4">
        <v>11.63</v>
      </c>
      <c r="G288" s="4">
        <v>3.21</v>
      </c>
    </row>
    <row r="289" spans="1:7">
      <c r="A289" t="s">
        <v>165</v>
      </c>
      <c r="B289" s="3">
        <v>45748</v>
      </c>
      <c r="C289" t="s">
        <v>19</v>
      </c>
      <c r="D289" t="s">
        <v>224</v>
      </c>
      <c r="E289" t="s">
        <v>8</v>
      </c>
      <c r="F289" s="4">
        <v>8.94</v>
      </c>
      <c r="G289" s="4">
        <v>5.24</v>
      </c>
    </row>
    <row r="290" spans="1:7">
      <c r="A290" t="s">
        <v>200</v>
      </c>
      <c r="B290" s="3">
        <v>45913</v>
      </c>
      <c r="C290" t="s">
        <v>19</v>
      </c>
      <c r="D290" t="s">
        <v>6</v>
      </c>
      <c r="E290" t="s">
        <v>6</v>
      </c>
      <c r="F290" s="4">
        <v>62.86</v>
      </c>
      <c r="G290" s="4">
        <v>3.63</v>
      </c>
    </row>
    <row r="291" spans="1:7">
      <c r="A291" t="s">
        <v>321</v>
      </c>
      <c r="B291" s="3">
        <v>45766</v>
      </c>
      <c r="C291" t="s">
        <v>5</v>
      </c>
      <c r="E291" t="s">
        <v>15</v>
      </c>
      <c r="F291" s="4">
        <v>37.78</v>
      </c>
      <c r="G291" s="4">
        <v>9.98</v>
      </c>
    </row>
    <row r="292" spans="1:7">
      <c r="A292" t="s">
        <v>322</v>
      </c>
      <c r="B292" s="3"/>
      <c r="C292" t="s">
        <v>14</v>
      </c>
      <c r="D292" t="s">
        <v>226</v>
      </c>
      <c r="E292" t="s">
        <v>8</v>
      </c>
      <c r="F292" s="4">
        <v>28.19</v>
      </c>
      <c r="G292" s="4">
        <v>1.61</v>
      </c>
    </row>
    <row r="293" spans="1:7">
      <c r="A293" t="s">
        <v>197</v>
      </c>
      <c r="B293" s="3">
        <v>45982</v>
      </c>
      <c r="C293" t="s">
        <v>9</v>
      </c>
      <c r="D293" t="s">
        <v>226</v>
      </c>
      <c r="E293" t="s">
        <v>12</v>
      </c>
      <c r="F293" s="4">
        <v>38.299999999999997</v>
      </c>
      <c r="G293" s="4">
        <v>4.96</v>
      </c>
    </row>
    <row r="294" spans="1:7">
      <c r="A294" t="s">
        <v>201</v>
      </c>
      <c r="B294" s="3">
        <v>46124</v>
      </c>
      <c r="C294" t="s">
        <v>19</v>
      </c>
      <c r="D294" t="s">
        <v>226</v>
      </c>
      <c r="E294" t="s">
        <v>15</v>
      </c>
      <c r="F294" s="4">
        <v>63.67</v>
      </c>
      <c r="G294" s="4">
        <v>11.58</v>
      </c>
    </row>
    <row r="295" spans="1:7">
      <c r="A295" t="s">
        <v>202</v>
      </c>
      <c r="B295" s="3">
        <v>45768</v>
      </c>
      <c r="C295" t="s">
        <v>7</v>
      </c>
      <c r="D295" t="s">
        <v>226</v>
      </c>
      <c r="E295" t="s">
        <v>6</v>
      </c>
      <c r="F295" s="4">
        <v>61.74</v>
      </c>
      <c r="G295" s="4">
        <v>4.1399999999999997</v>
      </c>
    </row>
    <row r="296" spans="1:7">
      <c r="B296" s="3">
        <v>45714</v>
      </c>
      <c r="C296" t="s">
        <v>9</v>
      </c>
      <c r="D296" t="s">
        <v>226</v>
      </c>
      <c r="E296" t="s">
        <v>6</v>
      </c>
      <c r="F296" s="4">
        <v>77.84</v>
      </c>
      <c r="G296" s="4">
        <v>14.61</v>
      </c>
    </row>
    <row r="297" spans="1:7">
      <c r="A297" t="s">
        <v>323</v>
      </c>
      <c r="B297" s="3"/>
      <c r="C297" t="s">
        <v>14</v>
      </c>
      <c r="D297" t="s">
        <v>224</v>
      </c>
      <c r="E297" t="s">
        <v>12</v>
      </c>
      <c r="F297" s="4">
        <v>21.35</v>
      </c>
      <c r="G297" s="4">
        <v>6.8</v>
      </c>
    </row>
    <row r="298" spans="1:7">
      <c r="A298" t="s">
        <v>203</v>
      </c>
      <c r="B298" s="3">
        <v>46015</v>
      </c>
      <c r="C298" t="s">
        <v>9</v>
      </c>
      <c r="D298" t="s">
        <v>224</v>
      </c>
      <c r="E298" t="s">
        <v>15</v>
      </c>
      <c r="F298" s="4">
        <v>50.4</v>
      </c>
      <c r="G298" s="4">
        <v>8.23</v>
      </c>
    </row>
    <row r="299" spans="1:7">
      <c r="A299" t="s">
        <v>324</v>
      </c>
      <c r="B299" s="3"/>
      <c r="C299" t="s">
        <v>14</v>
      </c>
      <c r="D299" t="s">
        <v>226</v>
      </c>
      <c r="E299" t="s">
        <v>8</v>
      </c>
      <c r="F299" s="4">
        <v>8.49</v>
      </c>
      <c r="G299" s="4">
        <v>4.68</v>
      </c>
    </row>
    <row r="300" spans="1:7">
      <c r="A300" t="s">
        <v>34</v>
      </c>
      <c r="B300" s="3">
        <v>45828</v>
      </c>
      <c r="C300" t="s">
        <v>5</v>
      </c>
      <c r="D300" t="s">
        <v>224</v>
      </c>
      <c r="E300" t="s">
        <v>12</v>
      </c>
      <c r="F300" s="4">
        <v>20</v>
      </c>
      <c r="G300" s="4">
        <v>3.37</v>
      </c>
    </row>
    <row r="301" spans="1:7">
      <c r="A301" t="s">
        <v>325</v>
      </c>
      <c r="B301" s="3">
        <v>46144</v>
      </c>
      <c r="C301" t="s">
        <v>7</v>
      </c>
      <c r="E301" t="s">
        <v>15</v>
      </c>
      <c r="F301" s="4">
        <v>68.03</v>
      </c>
      <c r="G301" s="4">
        <v>11.22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0297-9905-4912-B6F1-8348A64A6C6D}">
  <dimension ref="A1:I283"/>
  <sheetViews>
    <sheetView workbookViewId="0">
      <selection activeCell="J7" sqref="J7"/>
    </sheetView>
  </sheetViews>
  <sheetFormatPr defaultRowHeight="14.5"/>
  <cols>
    <col min="2" max="2" width="15.08984375" customWidth="1"/>
    <col min="3" max="3" width="13.54296875" customWidth="1"/>
    <col min="4" max="4" width="13.90625" customWidth="1"/>
    <col min="5" max="5" width="14.26953125" customWidth="1"/>
    <col min="6" max="6" width="16.1796875" customWidth="1"/>
    <col min="7" max="9" width="16.453125" customWidth="1"/>
  </cols>
  <sheetData>
    <row r="1" spans="1:9">
      <c r="A1" s="11" t="s">
        <v>0</v>
      </c>
      <c r="B1" s="11" t="s">
        <v>1</v>
      </c>
      <c r="C1" s="11" t="s">
        <v>2</v>
      </c>
      <c r="D1" s="11" t="s">
        <v>222</v>
      </c>
      <c r="E1" s="11" t="s">
        <v>223</v>
      </c>
      <c r="F1" s="11" t="s">
        <v>3</v>
      </c>
      <c r="G1" s="11" t="s">
        <v>4</v>
      </c>
      <c r="H1" s="11" t="s">
        <v>205</v>
      </c>
      <c r="I1" s="11" t="s">
        <v>206</v>
      </c>
    </row>
    <row r="2" spans="1:9">
      <c r="A2" s="10" t="s">
        <v>204</v>
      </c>
      <c r="B2" s="12">
        <v>46188</v>
      </c>
      <c r="C2" s="10" t="s">
        <v>5</v>
      </c>
      <c r="D2" s="10" t="s">
        <v>224</v>
      </c>
      <c r="E2" s="10" t="s">
        <v>6</v>
      </c>
      <c r="F2" s="13">
        <v>48.37</v>
      </c>
      <c r="G2" s="13">
        <v>3.55</v>
      </c>
      <c r="H2" s="13">
        <v>51.919999999999995</v>
      </c>
      <c r="I2" s="13">
        <v>27.734999999999996</v>
      </c>
    </row>
    <row r="3" spans="1:9">
      <c r="A3" s="10" t="s">
        <v>225</v>
      </c>
      <c r="B3" s="12">
        <v>45720</v>
      </c>
      <c r="C3" s="10" t="s">
        <v>7</v>
      </c>
      <c r="D3" s="10" t="s">
        <v>226</v>
      </c>
      <c r="E3" s="10" t="s">
        <v>8</v>
      </c>
      <c r="F3" s="13">
        <v>19.05</v>
      </c>
      <c r="G3" s="13">
        <v>0.64</v>
      </c>
      <c r="H3" s="13">
        <v>19.690000000000001</v>
      </c>
      <c r="I3" s="13">
        <v>10.165000000000001</v>
      </c>
    </row>
    <row r="4" spans="1:9">
      <c r="A4" s="10" t="s">
        <v>227</v>
      </c>
      <c r="B4" s="12">
        <v>45903</v>
      </c>
      <c r="C4" s="10" t="s">
        <v>9</v>
      </c>
      <c r="D4" s="10" t="s">
        <v>226</v>
      </c>
      <c r="E4" s="10" t="s">
        <v>6</v>
      </c>
      <c r="F4" s="13">
        <v>7.95</v>
      </c>
      <c r="G4" s="13">
        <v>2.09</v>
      </c>
      <c r="H4" s="13">
        <v>10.039999999999999</v>
      </c>
      <c r="I4" s="13">
        <v>6.0649999999999995</v>
      </c>
    </row>
    <row r="5" spans="1:9">
      <c r="A5" s="10" t="s">
        <v>228</v>
      </c>
      <c r="B5" s="12">
        <v>45796</v>
      </c>
      <c r="C5" s="10" t="s">
        <v>5</v>
      </c>
      <c r="D5" s="10" t="s">
        <v>226</v>
      </c>
      <c r="E5" s="10" t="s">
        <v>6</v>
      </c>
      <c r="F5" s="13">
        <v>78.87</v>
      </c>
      <c r="G5" s="13">
        <v>6.97</v>
      </c>
      <c r="H5" s="13">
        <v>85.84</v>
      </c>
      <c r="I5" s="13">
        <v>46.405000000000001</v>
      </c>
    </row>
    <row r="6" spans="1:9">
      <c r="A6" s="10" t="s">
        <v>10</v>
      </c>
      <c r="B6" s="12">
        <v>46125</v>
      </c>
      <c r="C6" s="10" t="s">
        <v>5</v>
      </c>
      <c r="D6" s="10" t="s">
        <v>226</v>
      </c>
      <c r="E6" s="10" t="s">
        <v>12</v>
      </c>
      <c r="F6" s="13">
        <v>49.49</v>
      </c>
      <c r="G6" s="13">
        <v>12.76</v>
      </c>
      <c r="H6" s="13">
        <v>62.25</v>
      </c>
      <c r="I6" s="13">
        <v>37.505000000000003</v>
      </c>
    </row>
    <row r="7" spans="1:9">
      <c r="A7" s="10" t="s">
        <v>11</v>
      </c>
      <c r="B7" s="12">
        <v>45997</v>
      </c>
      <c r="C7" s="10" t="s">
        <v>9</v>
      </c>
      <c r="D7" s="10" t="s">
        <v>226</v>
      </c>
      <c r="E7" s="10" t="s">
        <v>6</v>
      </c>
      <c r="F7" s="13">
        <v>43.44</v>
      </c>
      <c r="G7" s="13">
        <v>7.37</v>
      </c>
      <c r="H7" s="13">
        <v>50.809999999999995</v>
      </c>
      <c r="I7" s="13">
        <v>29.089999999999996</v>
      </c>
    </row>
    <row r="8" spans="1:9">
      <c r="A8" s="10" t="s">
        <v>13</v>
      </c>
      <c r="B8" s="12">
        <v>46134</v>
      </c>
      <c r="C8" s="10" t="s">
        <v>14</v>
      </c>
      <c r="D8" s="10" t="s">
        <v>6</v>
      </c>
      <c r="E8" s="10" t="s">
        <v>15</v>
      </c>
      <c r="F8" s="13">
        <v>69.59</v>
      </c>
      <c r="G8" s="13">
        <v>7.05</v>
      </c>
      <c r="H8" s="13">
        <v>76.64</v>
      </c>
      <c r="I8" s="13">
        <v>41.844999999999999</v>
      </c>
    </row>
    <row r="9" spans="1:9">
      <c r="A9" s="10" t="s">
        <v>16</v>
      </c>
      <c r="B9" s="12">
        <v>45660</v>
      </c>
      <c r="C9" s="10" t="s">
        <v>5</v>
      </c>
      <c r="D9" s="10" t="s">
        <v>226</v>
      </c>
      <c r="E9" s="10" t="s">
        <v>12</v>
      </c>
      <c r="F9" s="13">
        <v>12.72</v>
      </c>
      <c r="G9" s="13">
        <v>7.49</v>
      </c>
      <c r="H9" s="13">
        <v>20.21</v>
      </c>
      <c r="I9" s="13">
        <v>13.850000000000001</v>
      </c>
    </row>
    <row r="10" spans="1:9">
      <c r="A10" s="10" t="s">
        <v>17</v>
      </c>
      <c r="B10" s="12">
        <v>45697</v>
      </c>
      <c r="C10" s="10" t="s">
        <v>7</v>
      </c>
      <c r="D10" s="10" t="s">
        <v>226</v>
      </c>
      <c r="E10" s="10" t="s">
        <v>12</v>
      </c>
      <c r="F10" s="13">
        <v>47.49</v>
      </c>
      <c r="G10" s="13">
        <v>4.2</v>
      </c>
      <c r="H10" s="13">
        <v>51.690000000000005</v>
      </c>
      <c r="I10" s="13">
        <v>27.945000000000004</v>
      </c>
    </row>
    <row r="11" spans="1:9">
      <c r="A11" s="10" t="s">
        <v>18</v>
      </c>
      <c r="B11" s="12">
        <v>46035</v>
      </c>
      <c r="C11" s="10" t="s">
        <v>19</v>
      </c>
      <c r="D11" s="10" t="s">
        <v>226</v>
      </c>
      <c r="E11" s="10" t="s">
        <v>8</v>
      </c>
      <c r="F11" s="13">
        <v>14.99</v>
      </c>
      <c r="G11" s="13">
        <v>3.97</v>
      </c>
      <c r="H11" s="13">
        <v>18.96</v>
      </c>
      <c r="I11" s="13">
        <v>11.465</v>
      </c>
    </row>
    <row r="12" spans="1:9">
      <c r="A12" s="10" t="s">
        <v>20</v>
      </c>
      <c r="B12" s="12">
        <v>46227</v>
      </c>
      <c r="C12" s="10" t="s">
        <v>21</v>
      </c>
      <c r="D12" s="10" t="s">
        <v>226</v>
      </c>
      <c r="E12" s="10" t="s">
        <v>12</v>
      </c>
      <c r="F12" s="13">
        <v>8.7100000000000009</v>
      </c>
      <c r="G12" s="13">
        <v>4.3</v>
      </c>
      <c r="H12" s="13">
        <v>13.010000000000002</v>
      </c>
      <c r="I12" s="13">
        <v>8.6550000000000011</v>
      </c>
    </row>
    <row r="13" spans="1:9">
      <c r="A13" s="10" t="s">
        <v>229</v>
      </c>
      <c r="B13" s="12">
        <v>45724</v>
      </c>
      <c r="C13" s="10" t="s">
        <v>19</v>
      </c>
      <c r="D13" s="10" t="s">
        <v>6</v>
      </c>
      <c r="E13" s="10" t="s">
        <v>8</v>
      </c>
      <c r="F13" s="13">
        <v>20.58</v>
      </c>
      <c r="G13" s="13">
        <v>4.5199999999999996</v>
      </c>
      <c r="H13" s="13">
        <v>25.099999999999998</v>
      </c>
      <c r="I13" s="13">
        <v>14.809999999999999</v>
      </c>
    </row>
    <row r="14" spans="1:9">
      <c r="A14" s="10" t="s">
        <v>22</v>
      </c>
      <c r="B14" s="12">
        <v>46132</v>
      </c>
      <c r="C14" s="10" t="s">
        <v>14</v>
      </c>
      <c r="D14" s="10" t="s">
        <v>226</v>
      </c>
      <c r="E14" s="10" t="s">
        <v>6</v>
      </c>
      <c r="F14" s="13">
        <v>3.76</v>
      </c>
      <c r="G14" s="13">
        <v>2.4300000000000002</v>
      </c>
      <c r="H14" s="13">
        <v>6.1899999999999995</v>
      </c>
      <c r="I14" s="13">
        <v>4.3099999999999996</v>
      </c>
    </row>
    <row r="15" spans="1:9">
      <c r="A15" s="10" t="s">
        <v>23</v>
      </c>
      <c r="B15" s="12">
        <v>45929</v>
      </c>
      <c r="C15" s="10" t="s">
        <v>5</v>
      </c>
      <c r="D15" s="10" t="s">
        <v>226</v>
      </c>
      <c r="E15" s="10" t="s">
        <v>8</v>
      </c>
      <c r="F15" s="13">
        <v>4</v>
      </c>
      <c r="G15" s="13">
        <v>8.3800000000000008</v>
      </c>
      <c r="H15" s="13">
        <v>12.38</v>
      </c>
      <c r="I15" s="13">
        <v>10.38</v>
      </c>
    </row>
    <row r="16" spans="1:9">
      <c r="A16" s="10" t="s">
        <v>231</v>
      </c>
      <c r="B16" s="12">
        <v>45741</v>
      </c>
      <c r="C16" s="10" t="s">
        <v>21</v>
      </c>
      <c r="D16" s="10" t="s">
        <v>224</v>
      </c>
      <c r="E16" s="10" t="s">
        <v>8</v>
      </c>
      <c r="F16" s="13">
        <v>21.81</v>
      </c>
      <c r="G16" s="13">
        <v>3.72</v>
      </c>
      <c r="H16" s="13">
        <v>25.529999999999998</v>
      </c>
      <c r="I16" s="13">
        <v>14.624999999999998</v>
      </c>
    </row>
    <row r="17" spans="1:9">
      <c r="A17" s="10" t="s">
        <v>24</v>
      </c>
      <c r="B17" s="12">
        <v>46154</v>
      </c>
      <c r="C17" s="10" t="s">
        <v>19</v>
      </c>
      <c r="D17" s="10" t="s">
        <v>224</v>
      </c>
      <c r="E17" s="10" t="s">
        <v>8</v>
      </c>
      <c r="F17" s="13">
        <v>5.12</v>
      </c>
      <c r="G17" s="13">
        <v>2.64</v>
      </c>
      <c r="H17" s="13">
        <v>7.76</v>
      </c>
      <c r="I17" s="13">
        <v>5.2</v>
      </c>
    </row>
    <row r="18" spans="1:9">
      <c r="A18" s="10" t="s">
        <v>25</v>
      </c>
      <c r="B18" s="12">
        <v>45703</v>
      </c>
      <c r="C18" s="10" t="s">
        <v>5</v>
      </c>
      <c r="D18" s="10" t="s">
        <v>226</v>
      </c>
      <c r="E18" s="10" t="s">
        <v>12</v>
      </c>
      <c r="F18" s="13">
        <v>22.72</v>
      </c>
      <c r="G18" s="13">
        <v>2.11</v>
      </c>
      <c r="H18" s="13">
        <v>24.83</v>
      </c>
      <c r="I18" s="13">
        <v>13.469999999999999</v>
      </c>
    </row>
    <row r="19" spans="1:9">
      <c r="A19" s="10" t="s">
        <v>26</v>
      </c>
      <c r="B19" s="12">
        <v>45669</v>
      </c>
      <c r="C19" s="10" t="s">
        <v>19</v>
      </c>
      <c r="D19" s="10" t="s">
        <v>226</v>
      </c>
      <c r="E19" s="10" t="s">
        <v>15</v>
      </c>
      <c r="F19" s="13">
        <v>32.450000000000003</v>
      </c>
      <c r="G19" s="13">
        <v>5.43</v>
      </c>
      <c r="H19" s="13">
        <v>37.880000000000003</v>
      </c>
      <c r="I19" s="13">
        <v>21.655000000000001</v>
      </c>
    </row>
    <row r="20" spans="1:9">
      <c r="A20" s="10" t="s">
        <v>232</v>
      </c>
      <c r="B20" s="12">
        <v>45870</v>
      </c>
      <c r="C20" s="10" t="s">
        <v>14</v>
      </c>
      <c r="D20" s="10" t="s">
        <v>226</v>
      </c>
      <c r="E20" s="10" t="s">
        <v>8</v>
      </c>
      <c r="F20" s="13">
        <v>45.51</v>
      </c>
      <c r="G20" s="13">
        <v>11.19</v>
      </c>
      <c r="H20" s="13">
        <v>56.699999999999996</v>
      </c>
      <c r="I20" s="13">
        <v>33.945</v>
      </c>
    </row>
    <row r="21" spans="1:9">
      <c r="A21" s="10" t="s">
        <v>233</v>
      </c>
      <c r="B21" s="12">
        <v>45966</v>
      </c>
      <c r="C21" s="10" t="s">
        <v>14</v>
      </c>
      <c r="D21" s="10" t="s">
        <v>226</v>
      </c>
      <c r="E21" s="10" t="s">
        <v>8</v>
      </c>
      <c r="F21" s="13">
        <v>26.05</v>
      </c>
      <c r="G21" s="13">
        <v>1.82</v>
      </c>
      <c r="H21" s="13">
        <v>27.87</v>
      </c>
      <c r="I21" s="13">
        <v>14.845000000000001</v>
      </c>
    </row>
    <row r="22" spans="1:9">
      <c r="A22" s="10" t="s">
        <v>27</v>
      </c>
      <c r="B22" s="12">
        <v>46219</v>
      </c>
      <c r="C22" s="10" t="s">
        <v>5</v>
      </c>
      <c r="D22" s="10" t="s">
        <v>6</v>
      </c>
      <c r="E22" s="10" t="s">
        <v>15</v>
      </c>
      <c r="F22" s="13">
        <v>2.92</v>
      </c>
      <c r="G22" s="13">
        <v>2.95</v>
      </c>
      <c r="H22" s="13">
        <v>5.87</v>
      </c>
      <c r="I22" s="13">
        <v>4.41</v>
      </c>
    </row>
    <row r="23" spans="1:9">
      <c r="A23" s="10" t="s">
        <v>28</v>
      </c>
      <c r="B23" s="12">
        <v>46158</v>
      </c>
      <c r="C23" s="10" t="s">
        <v>19</v>
      </c>
      <c r="D23" s="10" t="s">
        <v>226</v>
      </c>
      <c r="E23" s="10" t="s">
        <v>15</v>
      </c>
      <c r="F23" s="13">
        <v>7.98</v>
      </c>
      <c r="G23" s="13">
        <v>0.82</v>
      </c>
      <c r="H23" s="13">
        <v>8.8000000000000007</v>
      </c>
      <c r="I23" s="13">
        <v>4.8100000000000005</v>
      </c>
    </row>
    <row r="24" spans="1:9">
      <c r="A24" s="10" t="s">
        <v>29</v>
      </c>
      <c r="B24" s="12">
        <v>46196</v>
      </c>
      <c r="C24" s="10" t="s">
        <v>5</v>
      </c>
      <c r="D24" s="10" t="s">
        <v>6</v>
      </c>
      <c r="E24" s="10" t="s">
        <v>6</v>
      </c>
      <c r="F24" s="13">
        <v>59.1</v>
      </c>
      <c r="G24" s="13">
        <v>4.6399999999999997</v>
      </c>
      <c r="H24" s="13">
        <v>63.74</v>
      </c>
      <c r="I24" s="13">
        <v>34.19</v>
      </c>
    </row>
    <row r="25" spans="1:9">
      <c r="A25" s="10" t="s">
        <v>234</v>
      </c>
      <c r="B25" s="12">
        <v>45989</v>
      </c>
      <c r="C25" s="10" t="s">
        <v>21</v>
      </c>
      <c r="D25" s="10" t="s">
        <v>224</v>
      </c>
      <c r="E25" s="10" t="s">
        <v>15</v>
      </c>
      <c r="F25" s="13">
        <v>45.55</v>
      </c>
      <c r="G25" s="13">
        <v>11.72</v>
      </c>
      <c r="H25" s="13">
        <v>57.269999999999996</v>
      </c>
      <c r="I25" s="13">
        <v>34.494999999999997</v>
      </c>
    </row>
    <row r="26" spans="1:9">
      <c r="A26" s="10" t="s">
        <v>30</v>
      </c>
      <c r="B26" s="12">
        <v>45919</v>
      </c>
      <c r="C26" s="10" t="s">
        <v>5</v>
      </c>
      <c r="D26" s="10" t="s">
        <v>224</v>
      </c>
      <c r="E26" s="10" t="s">
        <v>12</v>
      </c>
      <c r="F26" s="13">
        <v>60.66</v>
      </c>
      <c r="G26" s="13">
        <v>7.84</v>
      </c>
      <c r="H26" s="13">
        <v>68.5</v>
      </c>
      <c r="I26" s="13">
        <v>38.17</v>
      </c>
    </row>
    <row r="27" spans="1:9">
      <c r="A27" s="10" t="s">
        <v>31</v>
      </c>
      <c r="B27" s="12">
        <v>45659</v>
      </c>
      <c r="C27" s="10" t="s">
        <v>19</v>
      </c>
      <c r="D27" s="10" t="s">
        <v>224</v>
      </c>
      <c r="E27" s="10" t="s">
        <v>12</v>
      </c>
      <c r="F27" s="13">
        <v>32.44</v>
      </c>
      <c r="G27" s="13">
        <v>8.06</v>
      </c>
      <c r="H27" s="13">
        <v>40.5</v>
      </c>
      <c r="I27" s="13">
        <v>24.28</v>
      </c>
    </row>
    <row r="28" spans="1:9">
      <c r="A28" s="10" t="s">
        <v>32</v>
      </c>
      <c r="B28" s="12">
        <v>45864</v>
      </c>
      <c r="C28" s="10" t="s">
        <v>5</v>
      </c>
      <c r="D28" s="10" t="s">
        <v>226</v>
      </c>
      <c r="E28" s="10" t="s">
        <v>8</v>
      </c>
      <c r="F28" s="13">
        <v>43.16</v>
      </c>
      <c r="G28" s="13">
        <v>2.48</v>
      </c>
      <c r="H28" s="13">
        <v>45.639999999999993</v>
      </c>
      <c r="I28" s="13">
        <v>24.059999999999995</v>
      </c>
    </row>
    <row r="29" spans="1:9">
      <c r="A29" s="10" t="s">
        <v>235</v>
      </c>
      <c r="B29" s="12">
        <v>46185</v>
      </c>
      <c r="C29" s="10" t="s">
        <v>5</v>
      </c>
      <c r="D29" s="10" t="s">
        <v>226</v>
      </c>
      <c r="E29" s="10" t="s">
        <v>8</v>
      </c>
      <c r="F29" s="13">
        <v>7.23</v>
      </c>
      <c r="G29" s="13">
        <v>4.47</v>
      </c>
      <c r="H29" s="13">
        <v>11.7</v>
      </c>
      <c r="I29" s="13">
        <v>8.0849999999999991</v>
      </c>
    </row>
    <row r="30" spans="1:9">
      <c r="A30" s="10" t="s">
        <v>33</v>
      </c>
      <c r="B30" s="12">
        <v>45796</v>
      </c>
      <c r="C30" s="10" t="s">
        <v>5</v>
      </c>
      <c r="D30" s="10" t="s">
        <v>224</v>
      </c>
      <c r="E30" s="10" t="s">
        <v>8</v>
      </c>
      <c r="F30" s="13">
        <v>3.05</v>
      </c>
      <c r="G30" s="13">
        <v>4.53</v>
      </c>
      <c r="H30" s="13">
        <v>7.58</v>
      </c>
      <c r="I30" s="13">
        <v>6.0549999999999997</v>
      </c>
    </row>
    <row r="31" spans="1:9">
      <c r="A31" s="10" t="s">
        <v>236</v>
      </c>
      <c r="B31" s="12">
        <v>45759</v>
      </c>
      <c r="C31" s="10" t="s">
        <v>19</v>
      </c>
      <c r="D31" s="10" t="s">
        <v>226</v>
      </c>
      <c r="E31" s="10" t="s">
        <v>12</v>
      </c>
      <c r="F31" s="13">
        <v>9</v>
      </c>
      <c r="G31" s="13">
        <v>7.83</v>
      </c>
      <c r="H31" s="13">
        <v>16.829999999999998</v>
      </c>
      <c r="I31" s="13">
        <v>12.329999999999998</v>
      </c>
    </row>
    <row r="32" spans="1:9">
      <c r="A32" s="10" t="s">
        <v>34</v>
      </c>
      <c r="B32" s="12">
        <v>45919</v>
      </c>
      <c r="C32" s="10" t="s">
        <v>237</v>
      </c>
      <c r="D32" s="10" t="s">
        <v>224</v>
      </c>
      <c r="E32" s="10" t="s">
        <v>15</v>
      </c>
      <c r="F32" s="13">
        <v>42.89</v>
      </c>
      <c r="G32" s="13">
        <v>4.78</v>
      </c>
      <c r="H32" s="13">
        <v>47.67</v>
      </c>
      <c r="I32" s="13">
        <v>26.225000000000001</v>
      </c>
    </row>
    <row r="33" spans="1:9">
      <c r="A33" s="10" t="s">
        <v>238</v>
      </c>
      <c r="B33" s="12">
        <v>46191</v>
      </c>
      <c r="C33" s="10" t="s">
        <v>5</v>
      </c>
      <c r="D33" s="10" t="s">
        <v>6</v>
      </c>
      <c r="E33" s="10" t="s">
        <v>12</v>
      </c>
      <c r="F33" s="13">
        <v>27.07</v>
      </c>
      <c r="G33" s="13">
        <v>2.6</v>
      </c>
      <c r="H33" s="13">
        <v>29.67</v>
      </c>
      <c r="I33" s="13">
        <v>16.135000000000002</v>
      </c>
    </row>
    <row r="34" spans="1:9">
      <c r="A34" s="10" t="s">
        <v>35</v>
      </c>
      <c r="B34" s="12">
        <v>46145</v>
      </c>
      <c r="C34" s="10" t="s">
        <v>9</v>
      </c>
      <c r="D34" s="10" t="s">
        <v>6</v>
      </c>
      <c r="E34" s="10" t="s">
        <v>12</v>
      </c>
      <c r="F34" s="13">
        <v>19.510000000000002</v>
      </c>
      <c r="G34" s="13">
        <v>2.23</v>
      </c>
      <c r="H34" s="13">
        <v>21.740000000000002</v>
      </c>
      <c r="I34" s="13">
        <v>11.985000000000001</v>
      </c>
    </row>
    <row r="35" spans="1:9">
      <c r="A35" s="10" t="s">
        <v>36</v>
      </c>
      <c r="B35" s="12">
        <v>45828</v>
      </c>
      <c r="C35" s="10" t="s">
        <v>5</v>
      </c>
      <c r="D35" s="10" t="s">
        <v>226</v>
      </c>
      <c r="E35" s="10" t="s">
        <v>12</v>
      </c>
      <c r="F35" s="13">
        <v>24.41</v>
      </c>
      <c r="G35" s="13">
        <v>3.37</v>
      </c>
      <c r="H35" s="13">
        <v>27.78</v>
      </c>
      <c r="I35" s="13">
        <v>15.575000000000001</v>
      </c>
    </row>
    <row r="36" spans="1:9">
      <c r="A36" s="10" t="s">
        <v>239</v>
      </c>
      <c r="B36" s="12">
        <v>46024</v>
      </c>
      <c r="C36" s="10" t="s">
        <v>21</v>
      </c>
      <c r="D36" s="10" t="s">
        <v>226</v>
      </c>
      <c r="E36" s="10" t="s">
        <v>15</v>
      </c>
      <c r="F36" s="13">
        <v>20</v>
      </c>
      <c r="G36" s="13">
        <v>11.33</v>
      </c>
      <c r="H36" s="13">
        <v>31.33</v>
      </c>
      <c r="I36" s="13">
        <v>21.33</v>
      </c>
    </row>
    <row r="37" spans="1:9">
      <c r="A37" s="10" t="s">
        <v>37</v>
      </c>
      <c r="B37" s="12">
        <v>45722</v>
      </c>
      <c r="C37" s="10" t="s">
        <v>19</v>
      </c>
      <c r="D37" s="10" t="s">
        <v>226</v>
      </c>
      <c r="E37" s="10" t="s">
        <v>8</v>
      </c>
      <c r="F37" s="13">
        <v>18.079999999999998</v>
      </c>
      <c r="G37" s="13">
        <v>1.41</v>
      </c>
      <c r="H37" s="13">
        <v>19.489999999999998</v>
      </c>
      <c r="I37" s="13">
        <v>10.45</v>
      </c>
    </row>
    <row r="38" spans="1:9">
      <c r="A38" s="10" t="s">
        <v>38</v>
      </c>
      <c r="B38" s="12">
        <v>46059</v>
      </c>
      <c r="C38" s="10" t="s">
        <v>14</v>
      </c>
      <c r="D38" s="10" t="s">
        <v>6</v>
      </c>
      <c r="E38" s="10" t="s">
        <v>8</v>
      </c>
      <c r="F38" s="13">
        <v>9.57</v>
      </c>
      <c r="G38" s="13">
        <v>1.99</v>
      </c>
      <c r="H38" s="13">
        <v>11.56</v>
      </c>
      <c r="I38" s="13">
        <v>6.7750000000000004</v>
      </c>
    </row>
    <row r="39" spans="1:9">
      <c r="A39" s="10" t="s">
        <v>39</v>
      </c>
      <c r="B39" s="12">
        <v>45958</v>
      </c>
      <c r="C39" s="10" t="s">
        <v>5</v>
      </c>
      <c r="D39" s="10" t="s">
        <v>226</v>
      </c>
      <c r="E39" s="10" t="s">
        <v>15</v>
      </c>
      <c r="F39" s="13">
        <v>40.69</v>
      </c>
      <c r="G39" s="13">
        <v>6.45</v>
      </c>
      <c r="H39" s="13">
        <v>47.14</v>
      </c>
      <c r="I39" s="13">
        <v>26.795000000000002</v>
      </c>
    </row>
    <row r="40" spans="1:9">
      <c r="A40" s="10" t="s">
        <v>40</v>
      </c>
      <c r="B40" s="12">
        <v>46002</v>
      </c>
      <c r="C40" s="10" t="s">
        <v>21</v>
      </c>
      <c r="D40" s="10" t="s">
        <v>226</v>
      </c>
      <c r="E40" s="10" t="s">
        <v>15</v>
      </c>
      <c r="F40" s="13">
        <v>39</v>
      </c>
      <c r="G40" s="13">
        <v>7.8</v>
      </c>
      <c r="H40" s="13">
        <v>46.8</v>
      </c>
      <c r="I40" s="13">
        <v>27.299999999999997</v>
      </c>
    </row>
    <row r="41" spans="1:9">
      <c r="A41" s="10" t="s">
        <v>31</v>
      </c>
      <c r="B41" s="12">
        <v>46153</v>
      </c>
      <c r="C41" s="10" t="s">
        <v>9</v>
      </c>
      <c r="D41" s="10" t="s">
        <v>224</v>
      </c>
      <c r="E41" s="10" t="s">
        <v>12</v>
      </c>
      <c r="F41" s="13">
        <v>22.68</v>
      </c>
      <c r="G41" s="13">
        <v>7.07</v>
      </c>
      <c r="H41" s="13">
        <v>29.75</v>
      </c>
      <c r="I41" s="13">
        <v>18.41</v>
      </c>
    </row>
    <row r="42" spans="1:9">
      <c r="A42" s="10" t="s">
        <v>41</v>
      </c>
      <c r="B42" s="12">
        <v>46160</v>
      </c>
      <c r="C42" s="10" t="s">
        <v>5</v>
      </c>
      <c r="D42" s="10" t="s">
        <v>6</v>
      </c>
      <c r="E42" s="10" t="s">
        <v>12</v>
      </c>
      <c r="F42" s="13">
        <v>20.91</v>
      </c>
      <c r="G42" s="13">
        <v>6.63</v>
      </c>
      <c r="H42" s="13">
        <v>27.54</v>
      </c>
      <c r="I42" s="13">
        <v>17.085000000000001</v>
      </c>
    </row>
    <row r="43" spans="1:9">
      <c r="A43" s="10" t="s">
        <v>240</v>
      </c>
      <c r="B43" s="12">
        <v>46196</v>
      </c>
      <c r="C43" s="10" t="s">
        <v>5</v>
      </c>
      <c r="D43" s="10" t="s">
        <v>226</v>
      </c>
      <c r="E43" s="10" t="s">
        <v>15</v>
      </c>
      <c r="F43" s="13">
        <v>32.380000000000003</v>
      </c>
      <c r="G43" s="13">
        <v>8.66</v>
      </c>
      <c r="H43" s="13">
        <v>41.040000000000006</v>
      </c>
      <c r="I43" s="13">
        <v>24.85</v>
      </c>
    </row>
    <row r="44" spans="1:9">
      <c r="A44" s="10" t="s">
        <v>241</v>
      </c>
      <c r="B44" s="12">
        <v>45943</v>
      </c>
      <c r="C44" s="10" t="s">
        <v>14</v>
      </c>
      <c r="D44" s="10" t="s">
        <v>226</v>
      </c>
      <c r="E44" s="10" t="s">
        <v>15</v>
      </c>
      <c r="F44" s="13">
        <v>4.96</v>
      </c>
      <c r="G44" s="13">
        <v>9.59</v>
      </c>
      <c r="H44" s="13">
        <v>14.55</v>
      </c>
      <c r="I44" s="13">
        <v>12.07</v>
      </c>
    </row>
    <row r="45" spans="1:9">
      <c r="A45" s="10" t="s">
        <v>42</v>
      </c>
      <c r="B45" s="12">
        <v>46025</v>
      </c>
      <c r="C45" s="10" t="s">
        <v>7</v>
      </c>
      <c r="D45" s="10" t="s">
        <v>226</v>
      </c>
      <c r="E45" s="10" t="s">
        <v>12</v>
      </c>
      <c r="F45" s="13">
        <v>4.28</v>
      </c>
      <c r="G45" s="13">
        <v>1.94</v>
      </c>
      <c r="H45" s="13">
        <v>6.2200000000000006</v>
      </c>
      <c r="I45" s="13">
        <v>4.08</v>
      </c>
    </row>
    <row r="46" spans="1:9">
      <c r="A46" s="10" t="s">
        <v>43</v>
      </c>
      <c r="B46" s="12">
        <v>45796</v>
      </c>
      <c r="C46" s="10" t="s">
        <v>5</v>
      </c>
      <c r="D46" s="10" t="s">
        <v>226</v>
      </c>
      <c r="E46" s="10" t="s">
        <v>8</v>
      </c>
      <c r="F46" s="13">
        <v>9</v>
      </c>
      <c r="G46" s="13">
        <v>4.53</v>
      </c>
      <c r="H46" s="13">
        <v>13.530000000000001</v>
      </c>
      <c r="I46" s="13">
        <v>9.0300000000000011</v>
      </c>
    </row>
    <row r="47" spans="1:9">
      <c r="A47" s="10" t="s">
        <v>242</v>
      </c>
      <c r="B47" s="12">
        <v>45978</v>
      </c>
      <c r="C47" s="10" t="s">
        <v>5</v>
      </c>
      <c r="D47" s="10" t="s">
        <v>226</v>
      </c>
      <c r="E47" s="10" t="s">
        <v>15</v>
      </c>
      <c r="F47" s="13">
        <v>30.37</v>
      </c>
      <c r="G47" s="13">
        <v>11.58</v>
      </c>
      <c r="H47" s="13">
        <v>41.95</v>
      </c>
      <c r="I47" s="13">
        <v>26.765000000000001</v>
      </c>
    </row>
    <row r="48" spans="1:9">
      <c r="A48" s="10" t="s">
        <v>44</v>
      </c>
      <c r="B48" s="12">
        <v>45731</v>
      </c>
      <c r="C48" s="10" t="s">
        <v>5</v>
      </c>
      <c r="D48" s="10" t="s">
        <v>6</v>
      </c>
      <c r="E48" s="10" t="s">
        <v>8</v>
      </c>
      <c r="F48" s="13">
        <v>33.47</v>
      </c>
      <c r="G48" s="13">
        <v>2.89</v>
      </c>
      <c r="H48" s="13">
        <v>36.36</v>
      </c>
      <c r="I48" s="13">
        <v>19.625</v>
      </c>
    </row>
    <row r="49" spans="1:9">
      <c r="A49" s="10" t="s">
        <v>45</v>
      </c>
      <c r="B49" s="12">
        <v>45838</v>
      </c>
      <c r="C49" s="10" t="s">
        <v>19</v>
      </c>
      <c r="D49" s="10" t="s">
        <v>226</v>
      </c>
      <c r="E49" s="10" t="s">
        <v>12</v>
      </c>
      <c r="F49" s="13">
        <v>19.7</v>
      </c>
      <c r="G49" s="13">
        <v>3.51</v>
      </c>
      <c r="H49" s="13">
        <v>23.21</v>
      </c>
      <c r="I49" s="13">
        <v>13.36</v>
      </c>
    </row>
    <row r="50" spans="1:9">
      <c r="A50" s="10" t="s">
        <v>243</v>
      </c>
      <c r="B50" s="12">
        <v>45670</v>
      </c>
      <c r="C50" s="10" t="s">
        <v>9</v>
      </c>
      <c r="D50" s="10" t="s">
        <v>6</v>
      </c>
      <c r="E50" s="10" t="s">
        <v>15</v>
      </c>
      <c r="F50" s="13">
        <v>32.46</v>
      </c>
      <c r="G50" s="13">
        <v>4.54</v>
      </c>
      <c r="H50" s="13">
        <v>37</v>
      </c>
      <c r="I50" s="13">
        <v>20.77</v>
      </c>
    </row>
    <row r="51" spans="1:9">
      <c r="A51" s="10" t="s">
        <v>46</v>
      </c>
      <c r="B51" s="12">
        <v>46229</v>
      </c>
      <c r="C51" s="10" t="s">
        <v>5</v>
      </c>
      <c r="D51" s="10" t="s">
        <v>6</v>
      </c>
      <c r="E51" s="10" t="s">
        <v>8</v>
      </c>
      <c r="F51" s="13">
        <v>6.46</v>
      </c>
      <c r="G51" s="13">
        <v>12.44</v>
      </c>
      <c r="H51" s="13">
        <v>18.899999999999999</v>
      </c>
      <c r="I51" s="13">
        <v>15.669999999999998</v>
      </c>
    </row>
    <row r="52" spans="1:9">
      <c r="A52" s="10" t="s">
        <v>47</v>
      </c>
      <c r="B52" s="12">
        <v>46162</v>
      </c>
      <c r="C52" s="10" t="s">
        <v>7</v>
      </c>
      <c r="D52" s="10" t="s">
        <v>226</v>
      </c>
      <c r="E52" s="10" t="s">
        <v>15</v>
      </c>
      <c r="F52" s="13">
        <v>9.48</v>
      </c>
      <c r="G52" s="13">
        <v>2.69</v>
      </c>
      <c r="H52" s="13">
        <v>12.17</v>
      </c>
      <c r="I52" s="13">
        <v>7.43</v>
      </c>
    </row>
    <row r="53" spans="1:9">
      <c r="A53" s="10" t="s">
        <v>244</v>
      </c>
      <c r="B53" s="12">
        <v>46225</v>
      </c>
      <c r="C53" s="10" t="s">
        <v>19</v>
      </c>
      <c r="D53" s="10" t="s">
        <v>226</v>
      </c>
      <c r="E53" s="10" t="s">
        <v>15</v>
      </c>
      <c r="F53" s="13">
        <v>12.02</v>
      </c>
      <c r="G53" s="13">
        <v>6.68</v>
      </c>
      <c r="H53" s="13">
        <v>18.7</v>
      </c>
      <c r="I53" s="13">
        <v>12.69</v>
      </c>
    </row>
    <row r="54" spans="1:9">
      <c r="A54" s="10" t="s">
        <v>245</v>
      </c>
      <c r="B54" s="12">
        <v>45906</v>
      </c>
      <c r="C54" s="10" t="s">
        <v>21</v>
      </c>
      <c r="D54" s="10" t="s">
        <v>226</v>
      </c>
      <c r="E54" s="10" t="s">
        <v>8</v>
      </c>
      <c r="F54" s="13">
        <v>44.51</v>
      </c>
      <c r="G54" s="13">
        <v>7.31</v>
      </c>
      <c r="H54" s="13">
        <v>51.82</v>
      </c>
      <c r="I54" s="13">
        <v>29.565000000000001</v>
      </c>
    </row>
    <row r="55" spans="1:9">
      <c r="A55" s="10" t="s">
        <v>48</v>
      </c>
      <c r="B55" s="12">
        <v>45665</v>
      </c>
      <c r="C55" s="10" t="s">
        <v>19</v>
      </c>
      <c r="D55" s="10" t="s">
        <v>226</v>
      </c>
      <c r="E55" s="10" t="s">
        <v>8</v>
      </c>
      <c r="F55" s="13">
        <v>27.87</v>
      </c>
      <c r="G55" s="13">
        <v>5.08</v>
      </c>
      <c r="H55" s="13">
        <v>32.950000000000003</v>
      </c>
      <c r="I55" s="13">
        <v>19.015000000000001</v>
      </c>
    </row>
    <row r="56" spans="1:9">
      <c r="A56" s="10" t="s">
        <v>49</v>
      </c>
      <c r="B56" s="12">
        <v>46177</v>
      </c>
      <c r="C56" s="10" t="s">
        <v>7</v>
      </c>
      <c r="D56" s="10" t="s">
        <v>226</v>
      </c>
      <c r="E56" s="10" t="s">
        <v>15</v>
      </c>
      <c r="F56" s="13">
        <v>43.16</v>
      </c>
      <c r="G56" s="13">
        <v>3.69</v>
      </c>
      <c r="H56" s="13">
        <v>46.849999999999994</v>
      </c>
      <c r="I56" s="13">
        <v>25.269999999999996</v>
      </c>
    </row>
    <row r="57" spans="1:9">
      <c r="A57" s="10" t="s">
        <v>246</v>
      </c>
      <c r="B57" s="12">
        <v>46228</v>
      </c>
      <c r="C57" s="10" t="s">
        <v>19</v>
      </c>
      <c r="D57" s="10" t="s">
        <v>6</v>
      </c>
      <c r="E57" s="10" t="s">
        <v>8</v>
      </c>
      <c r="F57" s="13">
        <v>27.05</v>
      </c>
      <c r="G57" s="13">
        <v>8.31</v>
      </c>
      <c r="H57" s="13">
        <v>35.36</v>
      </c>
      <c r="I57" s="13">
        <v>21.835000000000001</v>
      </c>
    </row>
    <row r="58" spans="1:9">
      <c r="A58" s="10" t="s">
        <v>50</v>
      </c>
      <c r="B58" s="12">
        <v>46052</v>
      </c>
      <c r="C58" s="10" t="s">
        <v>5</v>
      </c>
      <c r="D58" s="10" t="s">
        <v>226</v>
      </c>
      <c r="E58" s="10" t="s">
        <v>6</v>
      </c>
      <c r="F58" s="13">
        <v>14.07</v>
      </c>
      <c r="G58" s="13">
        <v>1.29</v>
      </c>
      <c r="H58" s="13">
        <v>15.36</v>
      </c>
      <c r="I58" s="13">
        <v>8.3249999999999993</v>
      </c>
    </row>
    <row r="59" spans="1:9">
      <c r="A59" s="10" t="s">
        <v>51</v>
      </c>
      <c r="B59" s="12">
        <v>45744</v>
      </c>
      <c r="C59" s="10" t="s">
        <v>21</v>
      </c>
      <c r="D59" s="10" t="s">
        <v>226</v>
      </c>
      <c r="E59" s="10" t="s">
        <v>15</v>
      </c>
      <c r="F59" s="13">
        <v>63.94</v>
      </c>
      <c r="G59" s="13">
        <v>13.51</v>
      </c>
      <c r="H59" s="13">
        <v>77.45</v>
      </c>
      <c r="I59" s="13">
        <v>45.480000000000004</v>
      </c>
    </row>
    <row r="60" spans="1:9">
      <c r="A60" s="10" t="s">
        <v>52</v>
      </c>
      <c r="B60" s="12">
        <v>45683</v>
      </c>
      <c r="C60" s="10" t="s">
        <v>9</v>
      </c>
      <c r="D60" s="10" t="s">
        <v>224</v>
      </c>
      <c r="E60" s="10" t="s">
        <v>15</v>
      </c>
      <c r="F60" s="13">
        <v>58.01</v>
      </c>
      <c r="G60" s="13">
        <v>11.76</v>
      </c>
      <c r="H60" s="13">
        <v>69.77</v>
      </c>
      <c r="I60" s="13">
        <v>40.765000000000001</v>
      </c>
    </row>
    <row r="61" spans="1:9">
      <c r="A61" s="10" t="s">
        <v>53</v>
      </c>
      <c r="B61" s="12">
        <v>45709</v>
      </c>
      <c r="C61" s="10" t="s">
        <v>5</v>
      </c>
      <c r="D61" s="10" t="s">
        <v>6</v>
      </c>
      <c r="E61" s="10" t="s">
        <v>12</v>
      </c>
      <c r="F61" s="13">
        <v>30.59</v>
      </c>
      <c r="G61" s="13">
        <v>8.82</v>
      </c>
      <c r="H61" s="13">
        <v>39.409999999999997</v>
      </c>
      <c r="I61" s="13">
        <v>24.114999999999998</v>
      </c>
    </row>
    <row r="62" spans="1:9">
      <c r="A62" s="10" t="s">
        <v>54</v>
      </c>
      <c r="B62" s="12">
        <v>46001</v>
      </c>
      <c r="C62" s="10" t="s">
        <v>5</v>
      </c>
      <c r="D62" s="10" t="s">
        <v>226</v>
      </c>
      <c r="E62" s="10" t="s">
        <v>8</v>
      </c>
      <c r="F62" s="13">
        <v>20.48</v>
      </c>
      <c r="G62" s="13">
        <v>6.69</v>
      </c>
      <c r="H62" s="13">
        <v>27.17</v>
      </c>
      <c r="I62" s="13">
        <v>16.93</v>
      </c>
    </row>
    <row r="63" spans="1:9">
      <c r="A63" s="10" t="s">
        <v>55</v>
      </c>
      <c r="B63" s="12">
        <v>45726</v>
      </c>
      <c r="C63" s="10" t="s">
        <v>9</v>
      </c>
      <c r="D63" s="10" t="s">
        <v>6</v>
      </c>
      <c r="E63" s="10" t="s">
        <v>15</v>
      </c>
      <c r="F63" s="13">
        <v>70.87</v>
      </c>
      <c r="G63" s="13">
        <v>1.65</v>
      </c>
      <c r="H63" s="13">
        <v>72.52000000000001</v>
      </c>
      <c r="I63" s="13">
        <v>37.085000000000008</v>
      </c>
    </row>
    <row r="64" spans="1:9">
      <c r="A64" s="10" t="s">
        <v>56</v>
      </c>
      <c r="B64" s="12">
        <v>45840</v>
      </c>
      <c r="C64" s="10" t="s">
        <v>5</v>
      </c>
      <c r="D64" s="10" t="s">
        <v>226</v>
      </c>
      <c r="E64" s="10" t="s">
        <v>12</v>
      </c>
      <c r="F64" s="13">
        <v>38.24</v>
      </c>
      <c r="G64" s="13">
        <v>11.65</v>
      </c>
      <c r="H64" s="13">
        <v>49.89</v>
      </c>
      <c r="I64" s="13">
        <v>30.77</v>
      </c>
    </row>
    <row r="65" spans="1:9">
      <c r="A65" s="10" t="s">
        <v>57</v>
      </c>
      <c r="B65" s="12">
        <v>46206</v>
      </c>
      <c r="C65" s="10" t="s">
        <v>19</v>
      </c>
      <c r="D65" s="10" t="s">
        <v>224</v>
      </c>
      <c r="E65" s="10" t="s">
        <v>12</v>
      </c>
      <c r="F65" s="13">
        <v>24.4</v>
      </c>
      <c r="G65" s="13">
        <v>5.88</v>
      </c>
      <c r="H65" s="13">
        <v>30.279999999999998</v>
      </c>
      <c r="I65" s="13">
        <v>18.079999999999998</v>
      </c>
    </row>
    <row r="66" spans="1:9">
      <c r="A66" s="10" t="s">
        <v>58</v>
      </c>
      <c r="B66" s="12">
        <v>46000</v>
      </c>
      <c r="C66" s="10" t="s">
        <v>5</v>
      </c>
      <c r="D66" s="10" t="s">
        <v>224</v>
      </c>
      <c r="E66" s="10" t="s">
        <v>12</v>
      </c>
      <c r="F66" s="13">
        <v>43.63</v>
      </c>
      <c r="G66" s="13">
        <v>5.14</v>
      </c>
      <c r="H66" s="13">
        <v>48.77</v>
      </c>
      <c r="I66" s="13">
        <v>26.955000000000002</v>
      </c>
    </row>
    <row r="67" spans="1:9">
      <c r="A67" s="10" t="s">
        <v>247</v>
      </c>
      <c r="B67" s="12">
        <v>46183</v>
      </c>
      <c r="C67" s="10" t="s">
        <v>14</v>
      </c>
      <c r="D67" s="10" t="s">
        <v>226</v>
      </c>
      <c r="E67" s="10" t="s">
        <v>12</v>
      </c>
      <c r="F67" s="13">
        <v>25.07</v>
      </c>
      <c r="G67" s="13">
        <v>2.0699999999999998</v>
      </c>
      <c r="H67" s="13">
        <v>27.14</v>
      </c>
      <c r="I67" s="13">
        <v>14.605</v>
      </c>
    </row>
    <row r="68" spans="1:9">
      <c r="A68" s="10" t="s">
        <v>248</v>
      </c>
      <c r="B68" s="12">
        <v>45883</v>
      </c>
      <c r="C68" s="10" t="s">
        <v>5</v>
      </c>
      <c r="D68" s="10" t="s">
        <v>224</v>
      </c>
      <c r="E68" s="10" t="s">
        <v>8</v>
      </c>
      <c r="F68" s="13">
        <v>3.76</v>
      </c>
      <c r="G68" s="13">
        <v>4.41</v>
      </c>
      <c r="H68" s="13">
        <v>8.17</v>
      </c>
      <c r="I68" s="13">
        <v>6.29</v>
      </c>
    </row>
    <row r="69" spans="1:9">
      <c r="A69" s="10" t="s">
        <v>59</v>
      </c>
      <c r="B69" s="12">
        <v>46049</v>
      </c>
      <c r="C69" s="10" t="s">
        <v>19</v>
      </c>
      <c r="D69" s="10" t="s">
        <v>224</v>
      </c>
      <c r="E69" s="10" t="s">
        <v>15</v>
      </c>
      <c r="F69" s="13">
        <v>57.8</v>
      </c>
      <c r="G69" s="13">
        <v>2.56</v>
      </c>
      <c r="H69" s="13">
        <v>60.36</v>
      </c>
      <c r="I69" s="13">
        <v>31.46</v>
      </c>
    </row>
    <row r="70" spans="1:9">
      <c r="A70" s="10" t="s">
        <v>249</v>
      </c>
      <c r="B70" s="12">
        <v>45991</v>
      </c>
      <c r="C70" s="10" t="s">
        <v>7</v>
      </c>
      <c r="D70" s="10" t="s">
        <v>6</v>
      </c>
      <c r="E70" s="10" t="s">
        <v>8</v>
      </c>
      <c r="F70" s="13">
        <v>13.94</v>
      </c>
      <c r="G70" s="13">
        <v>2.04</v>
      </c>
      <c r="H70" s="13">
        <v>15.98</v>
      </c>
      <c r="I70" s="13">
        <v>9.01</v>
      </c>
    </row>
    <row r="71" spans="1:9">
      <c r="A71" s="10" t="s">
        <v>60</v>
      </c>
      <c r="B71" s="12">
        <v>46037</v>
      </c>
      <c r="C71" s="10" t="s">
        <v>7</v>
      </c>
      <c r="D71" s="10" t="s">
        <v>226</v>
      </c>
      <c r="E71" s="10" t="s">
        <v>12</v>
      </c>
      <c r="F71" s="13">
        <v>40.99</v>
      </c>
      <c r="G71" s="13">
        <v>4.4400000000000004</v>
      </c>
      <c r="H71" s="13">
        <v>45.43</v>
      </c>
      <c r="I71" s="13">
        <v>24.934999999999999</v>
      </c>
    </row>
    <row r="72" spans="1:9">
      <c r="A72" s="10" t="s">
        <v>61</v>
      </c>
      <c r="B72" s="12">
        <v>46033</v>
      </c>
      <c r="C72" s="10" t="s">
        <v>14</v>
      </c>
      <c r="D72" s="10" t="s">
        <v>226</v>
      </c>
      <c r="E72" s="10" t="s">
        <v>8</v>
      </c>
      <c r="F72" s="13">
        <v>18.309999999999999</v>
      </c>
      <c r="G72" s="13">
        <v>3.74</v>
      </c>
      <c r="H72" s="13">
        <v>22.049999999999997</v>
      </c>
      <c r="I72" s="13">
        <v>12.895</v>
      </c>
    </row>
    <row r="73" spans="1:9">
      <c r="A73" s="10" t="s">
        <v>62</v>
      </c>
      <c r="B73" s="12">
        <v>46137</v>
      </c>
      <c r="C73" s="10" t="s">
        <v>14</v>
      </c>
      <c r="D73" s="10" t="s">
        <v>226</v>
      </c>
      <c r="E73" s="10" t="s">
        <v>12</v>
      </c>
      <c r="F73" s="13">
        <v>7.39</v>
      </c>
      <c r="G73" s="13">
        <v>1.55</v>
      </c>
      <c r="H73" s="13">
        <v>8.94</v>
      </c>
      <c r="I73" s="13">
        <v>5.2450000000000001</v>
      </c>
    </row>
    <row r="74" spans="1:9">
      <c r="A74" s="10" t="s">
        <v>63</v>
      </c>
      <c r="B74" s="12">
        <v>45667</v>
      </c>
      <c r="C74" s="10" t="s">
        <v>21</v>
      </c>
      <c r="D74" s="10" t="s">
        <v>224</v>
      </c>
      <c r="E74" s="10" t="s">
        <v>15</v>
      </c>
      <c r="F74" s="13">
        <v>21.09</v>
      </c>
      <c r="G74" s="13">
        <v>0.69</v>
      </c>
      <c r="H74" s="13">
        <v>21.78</v>
      </c>
      <c r="I74" s="13">
        <v>11.235000000000001</v>
      </c>
    </row>
    <row r="75" spans="1:9">
      <c r="A75" s="10" t="s">
        <v>250</v>
      </c>
      <c r="B75" s="12">
        <v>46120</v>
      </c>
      <c r="C75" s="10" t="s">
        <v>5</v>
      </c>
      <c r="D75" s="10" t="s">
        <v>224</v>
      </c>
      <c r="E75" s="10" t="s">
        <v>15</v>
      </c>
      <c r="F75" s="13">
        <v>7.36</v>
      </c>
      <c r="G75" s="13">
        <v>5.44</v>
      </c>
      <c r="H75" s="13">
        <v>12.8</v>
      </c>
      <c r="I75" s="13">
        <v>9.120000000000001</v>
      </c>
    </row>
    <row r="76" spans="1:9">
      <c r="A76" s="10" t="s">
        <v>251</v>
      </c>
      <c r="B76" s="12">
        <v>45708</v>
      </c>
      <c r="C76" s="10" t="s">
        <v>19</v>
      </c>
      <c r="D76" s="10" t="s">
        <v>226</v>
      </c>
      <c r="E76" s="10" t="s">
        <v>15</v>
      </c>
      <c r="F76" s="13">
        <v>19.41</v>
      </c>
      <c r="G76" s="13">
        <v>12.78</v>
      </c>
      <c r="H76" s="13">
        <v>32.19</v>
      </c>
      <c r="I76" s="13">
        <v>22.484999999999999</v>
      </c>
    </row>
    <row r="77" spans="1:9">
      <c r="A77" s="10" t="s">
        <v>253</v>
      </c>
      <c r="B77" s="12">
        <v>45998</v>
      </c>
      <c r="C77" s="10" t="s">
        <v>14</v>
      </c>
      <c r="D77" s="10" t="s">
        <v>224</v>
      </c>
      <c r="E77" s="10" t="s">
        <v>8</v>
      </c>
      <c r="F77" s="13">
        <v>48.61</v>
      </c>
      <c r="G77" s="13">
        <v>10.39</v>
      </c>
      <c r="H77" s="13">
        <v>59</v>
      </c>
      <c r="I77" s="13">
        <v>34.695</v>
      </c>
    </row>
    <row r="78" spans="1:9">
      <c r="A78" s="10" t="s">
        <v>64</v>
      </c>
      <c r="B78" s="12">
        <v>45884</v>
      </c>
      <c r="C78" s="10" t="s">
        <v>14</v>
      </c>
      <c r="D78" s="10" t="s">
        <v>226</v>
      </c>
      <c r="E78" s="10" t="s">
        <v>8</v>
      </c>
      <c r="F78" s="13">
        <v>37.71</v>
      </c>
      <c r="G78" s="13">
        <v>2.93</v>
      </c>
      <c r="H78" s="13">
        <v>40.64</v>
      </c>
      <c r="I78" s="13">
        <v>21.785</v>
      </c>
    </row>
    <row r="79" spans="1:9">
      <c r="A79" s="10" t="s">
        <v>254</v>
      </c>
      <c r="B79" s="12">
        <v>46044</v>
      </c>
      <c r="C79" s="10" t="s">
        <v>7</v>
      </c>
      <c r="D79" s="10" t="s">
        <v>252</v>
      </c>
      <c r="E79" s="10" t="s">
        <v>15</v>
      </c>
      <c r="F79" s="13">
        <v>19.84</v>
      </c>
      <c r="G79" s="13">
        <v>4.2300000000000004</v>
      </c>
      <c r="H79" s="13">
        <v>24.07</v>
      </c>
      <c r="I79" s="13">
        <v>14.15</v>
      </c>
    </row>
    <row r="80" spans="1:9">
      <c r="A80" s="10" t="s">
        <v>65</v>
      </c>
      <c r="B80" s="12">
        <v>45783</v>
      </c>
      <c r="C80" s="10" t="s">
        <v>21</v>
      </c>
      <c r="D80" s="10" t="s">
        <v>226</v>
      </c>
      <c r="E80" s="10" t="s">
        <v>15</v>
      </c>
      <c r="F80" s="13">
        <v>27.45</v>
      </c>
      <c r="G80" s="13">
        <v>5.09</v>
      </c>
      <c r="H80" s="13">
        <v>32.54</v>
      </c>
      <c r="I80" s="13">
        <v>18.814999999999998</v>
      </c>
    </row>
    <row r="81" spans="1:9">
      <c r="A81" s="10" t="s">
        <v>255</v>
      </c>
      <c r="B81" s="12">
        <v>45972</v>
      </c>
      <c r="C81" s="10" t="s">
        <v>5</v>
      </c>
      <c r="D81" s="10" t="s">
        <v>226</v>
      </c>
      <c r="E81" s="10" t="s">
        <v>8</v>
      </c>
      <c r="F81" s="13">
        <v>63.54</v>
      </c>
      <c r="G81" s="13">
        <v>6.66</v>
      </c>
      <c r="H81" s="13">
        <v>70.2</v>
      </c>
      <c r="I81" s="13">
        <v>38.43</v>
      </c>
    </row>
    <row r="82" spans="1:9">
      <c r="A82" s="10" t="s">
        <v>66</v>
      </c>
      <c r="B82" s="12">
        <v>45968</v>
      </c>
      <c r="C82" s="10" t="s">
        <v>7</v>
      </c>
      <c r="D82" s="10" t="s">
        <v>6</v>
      </c>
      <c r="E82" s="10" t="s">
        <v>12</v>
      </c>
      <c r="F82" s="13">
        <v>18.63</v>
      </c>
      <c r="G82" s="13">
        <v>1.61</v>
      </c>
      <c r="H82" s="13">
        <v>20.239999999999998</v>
      </c>
      <c r="I82" s="13">
        <v>10.924999999999999</v>
      </c>
    </row>
    <row r="83" spans="1:9">
      <c r="A83" s="10" t="s">
        <v>67</v>
      </c>
      <c r="B83" s="12">
        <v>46025</v>
      </c>
      <c r="C83" s="10" t="s">
        <v>5</v>
      </c>
      <c r="D83" s="10" t="s">
        <v>224</v>
      </c>
      <c r="E83" s="10" t="s">
        <v>15</v>
      </c>
      <c r="F83" s="13">
        <v>68.34</v>
      </c>
      <c r="G83" s="13">
        <v>1.79</v>
      </c>
      <c r="H83" s="13">
        <v>70.13000000000001</v>
      </c>
      <c r="I83" s="13">
        <v>35.960000000000008</v>
      </c>
    </row>
    <row r="84" spans="1:9">
      <c r="A84" s="10" t="s">
        <v>68</v>
      </c>
      <c r="B84" s="12">
        <v>45719</v>
      </c>
      <c r="C84" s="10" t="s">
        <v>14</v>
      </c>
      <c r="D84" s="10" t="s">
        <v>226</v>
      </c>
      <c r="E84" s="10" t="s">
        <v>8</v>
      </c>
      <c r="F84" s="13">
        <v>36.9</v>
      </c>
      <c r="G84" s="13">
        <v>0.77</v>
      </c>
      <c r="H84" s="13">
        <v>37.67</v>
      </c>
      <c r="I84" s="13">
        <v>19.220000000000002</v>
      </c>
    </row>
    <row r="85" spans="1:9">
      <c r="A85" s="10" t="s">
        <v>69</v>
      </c>
      <c r="B85" s="12">
        <v>46199</v>
      </c>
      <c r="C85" s="10" t="s">
        <v>5</v>
      </c>
      <c r="D85" s="10" t="s">
        <v>226</v>
      </c>
      <c r="E85" s="10" t="s">
        <v>15</v>
      </c>
      <c r="F85" s="13">
        <v>37.29</v>
      </c>
      <c r="G85" s="13">
        <v>12.42</v>
      </c>
      <c r="H85" s="13">
        <v>49.71</v>
      </c>
      <c r="I85" s="13">
        <v>31.065000000000001</v>
      </c>
    </row>
    <row r="86" spans="1:9">
      <c r="A86" s="10" t="s">
        <v>256</v>
      </c>
      <c r="B86" s="12">
        <v>45661</v>
      </c>
      <c r="C86" s="10" t="s">
        <v>9</v>
      </c>
      <c r="D86" s="10" t="s">
        <v>224</v>
      </c>
      <c r="E86" s="10" t="s">
        <v>12</v>
      </c>
      <c r="F86" s="13">
        <v>15.32</v>
      </c>
      <c r="G86" s="13">
        <v>4.79</v>
      </c>
      <c r="H86" s="13">
        <v>20.11</v>
      </c>
      <c r="I86" s="13">
        <v>12.45</v>
      </c>
    </row>
    <row r="87" spans="1:9">
      <c r="A87" s="10" t="s">
        <v>70</v>
      </c>
      <c r="B87" s="12">
        <v>46035</v>
      </c>
      <c r="C87" s="10" t="s">
        <v>14</v>
      </c>
      <c r="D87" s="10" t="s">
        <v>226</v>
      </c>
      <c r="E87" s="10" t="s">
        <v>15</v>
      </c>
      <c r="F87" s="13">
        <v>13.03</v>
      </c>
      <c r="G87" s="13">
        <v>5.97</v>
      </c>
      <c r="H87" s="13">
        <v>19</v>
      </c>
      <c r="I87" s="13">
        <v>12.484999999999999</v>
      </c>
    </row>
    <row r="88" spans="1:9">
      <c r="A88" s="10" t="s">
        <v>71</v>
      </c>
      <c r="B88" s="12">
        <v>45934</v>
      </c>
      <c r="C88" s="10" t="s">
        <v>19</v>
      </c>
      <c r="D88" s="10" t="s">
        <v>226</v>
      </c>
      <c r="E88" s="10" t="s">
        <v>12</v>
      </c>
      <c r="F88" s="13">
        <v>22.15</v>
      </c>
      <c r="G88" s="13">
        <v>4.2699999999999996</v>
      </c>
      <c r="H88" s="13">
        <v>26.419999999999998</v>
      </c>
      <c r="I88" s="13">
        <v>15.344999999999999</v>
      </c>
    </row>
    <row r="89" spans="1:9">
      <c r="A89" s="10" t="s">
        <v>72</v>
      </c>
      <c r="B89" s="12">
        <v>45800</v>
      </c>
      <c r="C89" s="10" t="s">
        <v>5</v>
      </c>
      <c r="D89" s="10" t="s">
        <v>224</v>
      </c>
      <c r="E89" s="10" t="s">
        <v>8</v>
      </c>
      <c r="F89" s="13">
        <v>25.97</v>
      </c>
      <c r="G89" s="13">
        <v>33</v>
      </c>
      <c r="H89" s="13">
        <v>58.97</v>
      </c>
      <c r="I89" s="13">
        <v>45.984999999999999</v>
      </c>
    </row>
    <row r="90" spans="1:9">
      <c r="A90" s="10" t="s">
        <v>73</v>
      </c>
      <c r="B90" s="12">
        <v>45836</v>
      </c>
      <c r="C90" s="10" t="s">
        <v>5</v>
      </c>
      <c r="D90" s="10" t="s">
        <v>226</v>
      </c>
      <c r="E90" s="10" t="s">
        <v>8</v>
      </c>
      <c r="F90" s="13">
        <v>22.12</v>
      </c>
      <c r="G90" s="13">
        <v>6.65</v>
      </c>
      <c r="H90" s="13">
        <v>28.770000000000003</v>
      </c>
      <c r="I90" s="13">
        <v>17.71</v>
      </c>
    </row>
    <row r="91" spans="1:9">
      <c r="A91" s="10" t="s">
        <v>74</v>
      </c>
      <c r="B91" s="12">
        <v>45663</v>
      </c>
      <c r="C91" s="10" t="s">
        <v>19</v>
      </c>
      <c r="D91" s="10" t="s">
        <v>6</v>
      </c>
      <c r="E91" s="10" t="s">
        <v>12</v>
      </c>
      <c r="F91" s="13">
        <v>23.74</v>
      </c>
      <c r="G91" s="13">
        <v>1.77</v>
      </c>
      <c r="H91" s="13">
        <v>25.509999999999998</v>
      </c>
      <c r="I91" s="13">
        <v>13.639999999999999</v>
      </c>
    </row>
    <row r="92" spans="1:9">
      <c r="A92" s="10" t="s">
        <v>257</v>
      </c>
      <c r="B92" s="12">
        <v>45728</v>
      </c>
      <c r="C92" s="10" t="s">
        <v>5</v>
      </c>
      <c r="D92" s="10" t="s">
        <v>226</v>
      </c>
      <c r="E92" s="10" t="s">
        <v>6</v>
      </c>
      <c r="F92" s="13">
        <v>66.98</v>
      </c>
      <c r="G92" s="13">
        <v>5.21</v>
      </c>
      <c r="H92" s="13">
        <v>72.19</v>
      </c>
      <c r="I92" s="13">
        <v>38.699999999999996</v>
      </c>
    </row>
    <row r="93" spans="1:9">
      <c r="A93" s="10" t="s">
        <v>75</v>
      </c>
      <c r="B93" s="12">
        <v>45917</v>
      </c>
      <c r="C93" s="10" t="s">
        <v>7</v>
      </c>
      <c r="D93" s="10" t="s">
        <v>226</v>
      </c>
      <c r="E93" s="10" t="s">
        <v>15</v>
      </c>
      <c r="F93" s="13">
        <v>27.37</v>
      </c>
      <c r="G93" s="13">
        <v>3.15</v>
      </c>
      <c r="H93" s="13">
        <v>30.52</v>
      </c>
      <c r="I93" s="13">
        <v>16.835000000000001</v>
      </c>
    </row>
    <row r="94" spans="1:9">
      <c r="A94" s="10" t="s">
        <v>76</v>
      </c>
      <c r="B94" s="12">
        <v>45669</v>
      </c>
      <c r="C94" s="10" t="s">
        <v>14</v>
      </c>
      <c r="D94" s="10" t="s">
        <v>226</v>
      </c>
      <c r="E94" s="10" t="s">
        <v>8</v>
      </c>
      <c r="F94" s="13">
        <v>14.34</v>
      </c>
      <c r="G94" s="13">
        <v>11.76</v>
      </c>
      <c r="H94" s="13">
        <v>26.1</v>
      </c>
      <c r="I94" s="13">
        <v>18.93</v>
      </c>
    </row>
    <row r="95" spans="1:9">
      <c r="A95" s="10" t="s">
        <v>77</v>
      </c>
      <c r="B95" s="12">
        <v>45986</v>
      </c>
      <c r="C95" s="10" t="s">
        <v>19</v>
      </c>
      <c r="D95" s="10" t="s">
        <v>224</v>
      </c>
      <c r="E95" s="10" t="s">
        <v>8</v>
      </c>
      <c r="F95" s="13">
        <v>41.73</v>
      </c>
      <c r="G95" s="13">
        <v>1.23</v>
      </c>
      <c r="H95" s="13">
        <v>42.959999999999994</v>
      </c>
      <c r="I95" s="13">
        <v>22.094999999999995</v>
      </c>
    </row>
    <row r="96" spans="1:9">
      <c r="A96" s="10" t="s">
        <v>258</v>
      </c>
      <c r="B96" s="12">
        <v>45890</v>
      </c>
      <c r="C96" s="10" t="s">
        <v>14</v>
      </c>
      <c r="D96" s="10" t="s">
        <v>6</v>
      </c>
      <c r="E96" s="10" t="s">
        <v>15</v>
      </c>
      <c r="F96" s="13">
        <v>11.1</v>
      </c>
      <c r="G96" s="13">
        <v>4.2300000000000004</v>
      </c>
      <c r="H96" s="13">
        <v>15.33</v>
      </c>
      <c r="I96" s="13">
        <v>9.7800000000000011</v>
      </c>
    </row>
    <row r="97" spans="1:9">
      <c r="A97" s="10" t="s">
        <v>78</v>
      </c>
      <c r="B97" s="12">
        <v>45921</v>
      </c>
      <c r="C97" s="10" t="s">
        <v>5</v>
      </c>
      <c r="D97" s="10" t="s">
        <v>226</v>
      </c>
      <c r="E97" s="10" t="s">
        <v>15</v>
      </c>
      <c r="F97" s="13">
        <v>41.8</v>
      </c>
      <c r="G97" s="13">
        <v>4.54</v>
      </c>
      <c r="H97" s="13">
        <v>46.339999999999996</v>
      </c>
      <c r="I97" s="13">
        <v>25.439999999999998</v>
      </c>
    </row>
    <row r="98" spans="1:9">
      <c r="A98" s="10" t="s">
        <v>79</v>
      </c>
      <c r="B98" s="12">
        <v>46204</v>
      </c>
      <c r="C98" s="10" t="s">
        <v>7</v>
      </c>
      <c r="D98" s="10" t="s">
        <v>224</v>
      </c>
      <c r="E98" s="10" t="s">
        <v>15</v>
      </c>
      <c r="F98" s="13">
        <v>35.31</v>
      </c>
      <c r="G98" s="13">
        <v>10.27</v>
      </c>
      <c r="H98" s="13">
        <v>45.58</v>
      </c>
      <c r="I98" s="13">
        <v>27.924999999999997</v>
      </c>
    </row>
    <row r="99" spans="1:9">
      <c r="A99" s="10" t="s">
        <v>80</v>
      </c>
      <c r="B99" s="12">
        <v>45713</v>
      </c>
      <c r="C99" s="10" t="s">
        <v>21</v>
      </c>
      <c r="D99" s="10" t="s">
        <v>226</v>
      </c>
      <c r="E99" s="10" t="s">
        <v>12</v>
      </c>
      <c r="F99" s="13">
        <v>52.67</v>
      </c>
      <c r="G99" s="13">
        <v>8.3699999999999992</v>
      </c>
      <c r="H99" s="13">
        <v>61.04</v>
      </c>
      <c r="I99" s="13">
        <v>34.704999999999998</v>
      </c>
    </row>
    <row r="100" spans="1:9">
      <c r="A100" s="10" t="s">
        <v>81</v>
      </c>
      <c r="B100" s="12">
        <v>45734</v>
      </c>
      <c r="C100" s="10" t="s">
        <v>5</v>
      </c>
      <c r="D100" s="10" t="s">
        <v>226</v>
      </c>
      <c r="E100" s="10" t="s">
        <v>15</v>
      </c>
      <c r="F100" s="13">
        <v>23.54</v>
      </c>
      <c r="G100" s="13">
        <v>12.47</v>
      </c>
      <c r="H100" s="13">
        <v>36.01</v>
      </c>
      <c r="I100" s="13">
        <v>24.24</v>
      </c>
    </row>
    <row r="101" spans="1:9">
      <c r="A101" s="10" t="s">
        <v>82</v>
      </c>
      <c r="B101" s="12">
        <v>45747</v>
      </c>
      <c r="C101" s="10" t="s">
        <v>19</v>
      </c>
      <c r="D101" s="10" t="s">
        <v>226</v>
      </c>
      <c r="E101" s="10" t="s">
        <v>12</v>
      </c>
      <c r="F101" s="13">
        <v>42.55</v>
      </c>
      <c r="G101" s="13">
        <v>3.38</v>
      </c>
      <c r="H101" s="13">
        <v>45.93</v>
      </c>
      <c r="I101" s="13">
        <v>24.655000000000001</v>
      </c>
    </row>
    <row r="102" spans="1:9">
      <c r="A102" s="10" t="s">
        <v>83</v>
      </c>
      <c r="B102" s="12">
        <v>46169</v>
      </c>
      <c r="C102" s="10" t="s">
        <v>14</v>
      </c>
      <c r="D102" s="10" t="s">
        <v>224</v>
      </c>
      <c r="E102" s="10" t="s">
        <v>15</v>
      </c>
      <c r="F102" s="13">
        <v>43.89</v>
      </c>
      <c r="G102" s="13">
        <v>9.6999999999999993</v>
      </c>
      <c r="H102" s="13">
        <v>53.59</v>
      </c>
      <c r="I102" s="13">
        <v>31.645000000000003</v>
      </c>
    </row>
    <row r="103" spans="1:9">
      <c r="A103" s="10" t="s">
        <v>84</v>
      </c>
      <c r="B103" s="12">
        <v>45870</v>
      </c>
      <c r="C103" s="10" t="s">
        <v>5</v>
      </c>
      <c r="D103" s="10" t="s">
        <v>224</v>
      </c>
      <c r="E103" s="10" t="s">
        <v>15</v>
      </c>
      <c r="F103" s="13">
        <v>18.89</v>
      </c>
      <c r="G103" s="13">
        <v>1.1599999999999999</v>
      </c>
      <c r="H103" s="13">
        <v>20.05</v>
      </c>
      <c r="I103" s="13">
        <v>10.605</v>
      </c>
    </row>
    <row r="104" spans="1:9">
      <c r="A104" s="10" t="s">
        <v>85</v>
      </c>
      <c r="B104" s="12">
        <v>45841</v>
      </c>
      <c r="C104" s="10" t="s">
        <v>5</v>
      </c>
      <c r="D104" s="10" t="s">
        <v>226</v>
      </c>
      <c r="E104" s="10" t="s">
        <v>8</v>
      </c>
      <c r="F104" s="13">
        <v>38.46</v>
      </c>
      <c r="G104" s="13">
        <v>5.0599999999999996</v>
      </c>
      <c r="H104" s="13">
        <v>43.52</v>
      </c>
      <c r="I104" s="13">
        <v>24.290000000000003</v>
      </c>
    </row>
    <row r="105" spans="1:9">
      <c r="A105" s="10" t="s">
        <v>259</v>
      </c>
      <c r="B105" s="12">
        <v>46072</v>
      </c>
      <c r="C105" s="10" t="s">
        <v>21</v>
      </c>
      <c r="D105" s="10" t="s">
        <v>226</v>
      </c>
      <c r="E105" s="10" t="s">
        <v>12</v>
      </c>
      <c r="F105" s="13">
        <v>28.25</v>
      </c>
      <c r="G105" s="13">
        <v>2.2799999999999998</v>
      </c>
      <c r="H105" s="13">
        <v>30.53</v>
      </c>
      <c r="I105" s="13">
        <v>16.405000000000001</v>
      </c>
    </row>
    <row r="106" spans="1:9">
      <c r="A106" s="10" t="s">
        <v>86</v>
      </c>
      <c r="B106" s="12">
        <v>45771</v>
      </c>
      <c r="C106" s="10" t="s">
        <v>5</v>
      </c>
      <c r="D106" s="10" t="s">
        <v>226</v>
      </c>
      <c r="E106" s="10" t="s">
        <v>15</v>
      </c>
      <c r="F106" s="13">
        <v>20.18</v>
      </c>
      <c r="G106" s="13">
        <v>1.71</v>
      </c>
      <c r="H106" s="13">
        <v>21.89</v>
      </c>
      <c r="I106" s="13">
        <v>11.8</v>
      </c>
    </row>
    <row r="107" spans="1:9">
      <c r="A107" s="10" t="s">
        <v>87</v>
      </c>
      <c r="B107" s="12">
        <v>46155</v>
      </c>
      <c r="C107" s="10" t="s">
        <v>21</v>
      </c>
      <c r="D107" s="10" t="s">
        <v>224</v>
      </c>
      <c r="E107" s="10" t="s">
        <v>12</v>
      </c>
      <c r="F107" s="13">
        <v>3.64</v>
      </c>
      <c r="G107" s="13">
        <v>3.67</v>
      </c>
      <c r="H107" s="13">
        <v>7.3100000000000005</v>
      </c>
      <c r="I107" s="13">
        <v>5.49</v>
      </c>
    </row>
    <row r="108" spans="1:9">
      <c r="A108" s="10" t="s">
        <v>88</v>
      </c>
      <c r="B108" s="12">
        <v>46057</v>
      </c>
      <c r="C108" s="10" t="s">
        <v>5</v>
      </c>
      <c r="D108" s="10" t="s">
        <v>224</v>
      </c>
      <c r="E108" s="10" t="s">
        <v>12</v>
      </c>
      <c r="F108" s="13">
        <v>17.649999999999999</v>
      </c>
      <c r="G108" s="13">
        <v>6.75</v>
      </c>
      <c r="H108" s="13">
        <v>24.4</v>
      </c>
      <c r="I108" s="13">
        <v>15.574999999999999</v>
      </c>
    </row>
    <row r="109" spans="1:9">
      <c r="A109" s="10" t="s">
        <v>89</v>
      </c>
      <c r="B109" s="12">
        <v>45751</v>
      </c>
      <c r="C109" s="10" t="s">
        <v>5</v>
      </c>
      <c r="D109" s="10" t="s">
        <v>224</v>
      </c>
      <c r="E109" s="10" t="s">
        <v>15</v>
      </c>
      <c r="F109" s="13">
        <v>20.81</v>
      </c>
      <c r="G109" s="13">
        <v>5.35</v>
      </c>
      <c r="H109" s="13">
        <v>26.159999999999997</v>
      </c>
      <c r="I109" s="13">
        <v>15.754999999999999</v>
      </c>
    </row>
    <row r="110" spans="1:9">
      <c r="A110" s="10" t="s">
        <v>260</v>
      </c>
      <c r="B110" s="12">
        <v>45959</v>
      </c>
      <c r="C110" s="10" t="s">
        <v>5</v>
      </c>
      <c r="D110" s="10" t="s">
        <v>226</v>
      </c>
      <c r="E110" s="10" t="s">
        <v>8</v>
      </c>
      <c r="F110" s="13">
        <v>34.729999999999997</v>
      </c>
      <c r="G110" s="13">
        <v>0.82</v>
      </c>
      <c r="H110" s="13">
        <v>35.549999999999997</v>
      </c>
      <c r="I110" s="13">
        <v>18.184999999999999</v>
      </c>
    </row>
    <row r="111" spans="1:9">
      <c r="A111" s="10" t="s">
        <v>261</v>
      </c>
      <c r="B111" s="12">
        <v>46200</v>
      </c>
      <c r="C111" s="10" t="s">
        <v>5</v>
      </c>
      <c r="D111" s="10" t="s">
        <v>224</v>
      </c>
      <c r="E111" s="10" t="s">
        <v>8</v>
      </c>
      <c r="F111" s="13">
        <v>61.42</v>
      </c>
      <c r="G111" s="13">
        <v>10.75</v>
      </c>
      <c r="H111" s="13">
        <v>72.17</v>
      </c>
      <c r="I111" s="13">
        <v>41.46</v>
      </c>
    </row>
    <row r="112" spans="1:9">
      <c r="A112" s="10" t="s">
        <v>262</v>
      </c>
      <c r="B112" s="12">
        <v>45911</v>
      </c>
      <c r="C112" s="10" t="s">
        <v>19</v>
      </c>
      <c r="D112" s="10" t="s">
        <v>6</v>
      </c>
      <c r="E112" s="10" t="s">
        <v>15</v>
      </c>
      <c r="F112" s="13">
        <v>36.65</v>
      </c>
      <c r="G112" s="13">
        <v>2.73</v>
      </c>
      <c r="H112" s="13">
        <v>39.379999999999995</v>
      </c>
      <c r="I112" s="13">
        <v>21.054999999999996</v>
      </c>
    </row>
    <row r="113" spans="1:9">
      <c r="A113" s="10" t="s">
        <v>90</v>
      </c>
      <c r="B113" s="12">
        <v>45966</v>
      </c>
      <c r="C113" s="10" t="s">
        <v>19</v>
      </c>
      <c r="D113" s="10" t="s">
        <v>226</v>
      </c>
      <c r="E113" s="10" t="s">
        <v>12</v>
      </c>
      <c r="F113" s="13">
        <v>23.3</v>
      </c>
      <c r="G113" s="13">
        <v>10.75</v>
      </c>
      <c r="H113" s="13">
        <v>34.049999999999997</v>
      </c>
      <c r="I113" s="13">
        <v>22.4</v>
      </c>
    </row>
    <row r="114" spans="1:9">
      <c r="A114" s="10" t="s">
        <v>92</v>
      </c>
      <c r="B114" s="12">
        <v>46024</v>
      </c>
      <c r="C114" s="10" t="s">
        <v>91</v>
      </c>
      <c r="D114" s="10" t="s">
        <v>6</v>
      </c>
      <c r="E114" s="10" t="s">
        <v>15</v>
      </c>
      <c r="F114" s="13">
        <v>31.53</v>
      </c>
      <c r="G114" s="13">
        <v>3.27</v>
      </c>
      <c r="H114" s="13">
        <v>34.800000000000004</v>
      </c>
      <c r="I114" s="13">
        <v>19.035000000000004</v>
      </c>
    </row>
    <row r="115" spans="1:9">
      <c r="A115" s="10" t="s">
        <v>93</v>
      </c>
      <c r="B115" s="12">
        <v>46227</v>
      </c>
      <c r="C115" s="10" t="s">
        <v>7</v>
      </c>
      <c r="D115" s="10" t="s">
        <v>226</v>
      </c>
      <c r="E115" s="10" t="s">
        <v>12</v>
      </c>
      <c r="F115" s="13">
        <v>3.08</v>
      </c>
      <c r="G115" s="13">
        <v>8.82</v>
      </c>
      <c r="H115" s="13">
        <v>11.9</v>
      </c>
      <c r="I115" s="13">
        <v>10.36</v>
      </c>
    </row>
    <row r="116" spans="1:9">
      <c r="A116" s="10" t="s">
        <v>264</v>
      </c>
      <c r="B116" s="12">
        <v>45851</v>
      </c>
      <c r="C116" s="10" t="s">
        <v>9</v>
      </c>
      <c r="D116" s="10" t="s">
        <v>224</v>
      </c>
      <c r="E116" s="10" t="s">
        <v>12</v>
      </c>
      <c r="F116" s="13">
        <v>54.24</v>
      </c>
      <c r="G116" s="13">
        <v>10.31</v>
      </c>
      <c r="H116" s="13">
        <v>64.55</v>
      </c>
      <c r="I116" s="13">
        <v>37.43</v>
      </c>
    </row>
    <row r="117" spans="1:9">
      <c r="A117" s="10" t="s">
        <v>94</v>
      </c>
      <c r="B117" s="12">
        <v>46045</v>
      </c>
      <c r="C117" s="10" t="s">
        <v>19</v>
      </c>
      <c r="D117" s="10" t="s">
        <v>263</v>
      </c>
      <c r="E117" s="10" t="s">
        <v>8</v>
      </c>
      <c r="F117" s="13">
        <v>12.07</v>
      </c>
      <c r="G117" s="13">
        <v>4.09</v>
      </c>
      <c r="H117" s="13">
        <v>16.16</v>
      </c>
      <c r="I117" s="13">
        <v>10.125</v>
      </c>
    </row>
    <row r="118" spans="1:9">
      <c r="A118" s="10" t="s">
        <v>95</v>
      </c>
      <c r="B118" s="12">
        <v>45814</v>
      </c>
      <c r="C118" s="10" t="s">
        <v>9</v>
      </c>
      <c r="D118" s="10" t="s">
        <v>6</v>
      </c>
      <c r="E118" s="10" t="s">
        <v>15</v>
      </c>
      <c r="F118" s="13">
        <v>19.53</v>
      </c>
      <c r="G118" s="13">
        <v>7.82</v>
      </c>
      <c r="H118" s="13">
        <v>27.35</v>
      </c>
      <c r="I118" s="13">
        <v>17.585000000000001</v>
      </c>
    </row>
    <row r="119" spans="1:9">
      <c r="A119" s="10" t="s">
        <v>265</v>
      </c>
      <c r="B119" s="12">
        <v>45995</v>
      </c>
      <c r="C119" s="10" t="s">
        <v>7</v>
      </c>
      <c r="D119" s="10" t="s">
        <v>226</v>
      </c>
      <c r="E119" s="10" t="s">
        <v>12</v>
      </c>
      <c r="F119" s="13">
        <v>17.84</v>
      </c>
      <c r="G119" s="13">
        <v>6.43</v>
      </c>
      <c r="H119" s="13">
        <v>24.27</v>
      </c>
      <c r="I119" s="13">
        <v>15.35</v>
      </c>
    </row>
    <row r="120" spans="1:9">
      <c r="A120" s="10" t="s">
        <v>96</v>
      </c>
      <c r="B120" s="12">
        <v>45810</v>
      </c>
      <c r="C120" s="10" t="s">
        <v>14</v>
      </c>
      <c r="D120" s="10" t="s">
        <v>226</v>
      </c>
      <c r="E120" s="10" t="s">
        <v>15</v>
      </c>
      <c r="F120" s="13">
        <v>21.25</v>
      </c>
      <c r="G120" s="13">
        <v>3.11</v>
      </c>
      <c r="H120" s="13">
        <v>24.36</v>
      </c>
      <c r="I120" s="13">
        <v>13.734999999999999</v>
      </c>
    </row>
    <row r="121" spans="1:9">
      <c r="A121" s="10" t="s">
        <v>97</v>
      </c>
      <c r="B121" s="12">
        <v>45936</v>
      </c>
      <c r="C121" s="10" t="s">
        <v>21</v>
      </c>
      <c r="D121" s="10" t="s">
        <v>226</v>
      </c>
      <c r="E121" s="10" t="s">
        <v>15</v>
      </c>
      <c r="F121" s="13">
        <v>63.79</v>
      </c>
      <c r="G121" s="13">
        <v>12.53</v>
      </c>
      <c r="H121" s="13">
        <v>76.319999999999993</v>
      </c>
      <c r="I121" s="13">
        <v>44.424999999999997</v>
      </c>
    </row>
    <row r="122" spans="1:9">
      <c r="A122" s="10" t="s">
        <v>266</v>
      </c>
      <c r="B122" s="12">
        <v>46143</v>
      </c>
      <c r="C122" s="10" t="s">
        <v>19</v>
      </c>
      <c r="D122" s="10" t="s">
        <v>226</v>
      </c>
      <c r="E122" s="10" t="s">
        <v>12</v>
      </c>
      <c r="F122" s="13">
        <v>4.71</v>
      </c>
      <c r="G122" s="13">
        <v>0.71</v>
      </c>
      <c r="H122" s="13">
        <v>5.42</v>
      </c>
      <c r="I122" s="13">
        <v>3.0649999999999999</v>
      </c>
    </row>
    <row r="123" spans="1:9">
      <c r="A123" s="10" t="s">
        <v>267</v>
      </c>
      <c r="B123" s="12">
        <v>45890</v>
      </c>
      <c r="C123" s="10" t="s">
        <v>21</v>
      </c>
      <c r="D123" s="10" t="s">
        <v>224</v>
      </c>
      <c r="E123" s="10" t="s">
        <v>6</v>
      </c>
      <c r="F123" s="13">
        <v>28.79</v>
      </c>
      <c r="G123" s="13">
        <v>6.02</v>
      </c>
      <c r="H123" s="13">
        <v>34.81</v>
      </c>
      <c r="I123" s="13">
        <v>20.414999999999999</v>
      </c>
    </row>
    <row r="124" spans="1:9">
      <c r="A124" s="10" t="s">
        <v>98</v>
      </c>
      <c r="B124" s="12">
        <v>45707</v>
      </c>
      <c r="C124" s="10" t="s">
        <v>14</v>
      </c>
      <c r="D124" s="10" t="s">
        <v>224</v>
      </c>
      <c r="E124" s="10" t="s">
        <v>8</v>
      </c>
      <c r="F124" s="13">
        <v>21.02</v>
      </c>
      <c r="G124" s="13">
        <v>2.13</v>
      </c>
      <c r="H124" s="13">
        <v>23.15</v>
      </c>
      <c r="I124" s="13">
        <v>12.639999999999999</v>
      </c>
    </row>
    <row r="125" spans="1:9">
      <c r="A125" s="10" t="s">
        <v>268</v>
      </c>
      <c r="B125" s="12">
        <v>45775</v>
      </c>
      <c r="C125" s="10" t="s">
        <v>9</v>
      </c>
      <c r="D125" s="10" t="s">
        <v>6</v>
      </c>
      <c r="E125" s="10" t="s">
        <v>8</v>
      </c>
      <c r="F125" s="13">
        <v>15.94</v>
      </c>
      <c r="G125" s="13">
        <v>3.99</v>
      </c>
      <c r="H125" s="13">
        <v>19.93</v>
      </c>
      <c r="I125" s="13">
        <v>11.96</v>
      </c>
    </row>
    <row r="126" spans="1:9">
      <c r="A126" s="10" t="s">
        <v>99</v>
      </c>
      <c r="B126" s="12">
        <v>45823</v>
      </c>
      <c r="C126" s="10" t="s">
        <v>5</v>
      </c>
      <c r="D126" s="10" t="s">
        <v>226</v>
      </c>
      <c r="E126" s="10" t="s">
        <v>8</v>
      </c>
      <c r="F126" s="13">
        <v>2.64</v>
      </c>
      <c r="G126" s="13">
        <v>12.64</v>
      </c>
      <c r="H126" s="13">
        <v>15.280000000000001</v>
      </c>
      <c r="I126" s="13">
        <v>13.96</v>
      </c>
    </row>
    <row r="127" spans="1:9">
      <c r="A127" s="10" t="s">
        <v>100</v>
      </c>
      <c r="B127" s="12">
        <v>46201</v>
      </c>
      <c r="C127" s="10" t="s">
        <v>9</v>
      </c>
      <c r="D127" s="10" t="s">
        <v>224</v>
      </c>
      <c r="E127" s="10" t="s">
        <v>8</v>
      </c>
      <c r="F127" s="13">
        <v>46.38</v>
      </c>
      <c r="G127" s="13">
        <v>2.74</v>
      </c>
      <c r="H127" s="13">
        <v>49.120000000000005</v>
      </c>
      <c r="I127" s="13">
        <v>25.930000000000003</v>
      </c>
    </row>
    <row r="128" spans="1:9">
      <c r="A128" s="10" t="s">
        <v>270</v>
      </c>
      <c r="B128" s="12">
        <v>45924</v>
      </c>
      <c r="C128" s="10" t="s">
        <v>21</v>
      </c>
      <c r="D128" s="10" t="s">
        <v>6</v>
      </c>
      <c r="E128" s="10" t="s">
        <v>12</v>
      </c>
      <c r="F128" s="13">
        <v>25.27</v>
      </c>
      <c r="G128" s="13">
        <v>3.66</v>
      </c>
      <c r="H128" s="13">
        <v>28.93</v>
      </c>
      <c r="I128" s="13">
        <v>16.295000000000002</v>
      </c>
    </row>
    <row r="129" spans="1:9">
      <c r="A129" s="10" t="s">
        <v>101</v>
      </c>
      <c r="B129" s="12">
        <v>46023</v>
      </c>
      <c r="C129" s="10" t="s">
        <v>7</v>
      </c>
      <c r="D129" s="10" t="s">
        <v>226</v>
      </c>
      <c r="E129" s="10" t="s">
        <v>269</v>
      </c>
      <c r="F129" s="13">
        <v>4.2699999999999996</v>
      </c>
      <c r="G129" s="13">
        <v>4.7</v>
      </c>
      <c r="H129" s="13">
        <v>8.9699999999999989</v>
      </c>
      <c r="I129" s="13">
        <v>6.8349999999999991</v>
      </c>
    </row>
    <row r="130" spans="1:9">
      <c r="A130" s="10" t="s">
        <v>102</v>
      </c>
      <c r="B130" s="12">
        <v>45946</v>
      </c>
      <c r="C130" s="10" t="s">
        <v>7</v>
      </c>
      <c r="D130" s="10" t="s">
        <v>226</v>
      </c>
      <c r="E130" s="10" t="s">
        <v>8</v>
      </c>
      <c r="F130" s="13">
        <v>26.83</v>
      </c>
      <c r="G130" s="13">
        <v>1.23</v>
      </c>
      <c r="H130" s="13">
        <v>28.06</v>
      </c>
      <c r="I130" s="13">
        <v>14.645</v>
      </c>
    </row>
    <row r="131" spans="1:9">
      <c r="A131" s="10" t="s">
        <v>271</v>
      </c>
      <c r="B131" s="12">
        <v>46072</v>
      </c>
      <c r="C131" s="10" t="s">
        <v>19</v>
      </c>
      <c r="D131" s="10" t="s">
        <v>226</v>
      </c>
      <c r="E131" s="10" t="s">
        <v>15</v>
      </c>
      <c r="F131" s="13">
        <v>28.6</v>
      </c>
      <c r="G131" s="13">
        <v>2.8</v>
      </c>
      <c r="H131" s="13">
        <v>31.400000000000002</v>
      </c>
      <c r="I131" s="13">
        <v>17.100000000000001</v>
      </c>
    </row>
    <row r="132" spans="1:9">
      <c r="A132" s="10" t="s">
        <v>103</v>
      </c>
      <c r="B132" s="12">
        <v>45897</v>
      </c>
      <c r="C132" s="10" t="s">
        <v>9</v>
      </c>
      <c r="D132" s="10" t="s">
        <v>226</v>
      </c>
      <c r="E132" s="10" t="s">
        <v>8</v>
      </c>
      <c r="F132" s="13">
        <v>41.23</v>
      </c>
      <c r="G132" s="13">
        <v>6.8</v>
      </c>
      <c r="H132" s="13">
        <v>48.029999999999994</v>
      </c>
      <c r="I132" s="13">
        <v>27.414999999999996</v>
      </c>
    </row>
    <row r="133" spans="1:9">
      <c r="A133" s="10" t="s">
        <v>272</v>
      </c>
      <c r="B133" s="12">
        <v>46194</v>
      </c>
      <c r="C133" s="10" t="s">
        <v>7</v>
      </c>
      <c r="D133" s="10" t="s">
        <v>224</v>
      </c>
      <c r="E133" s="10" t="s">
        <v>15</v>
      </c>
      <c r="F133" s="13">
        <v>20.93</v>
      </c>
      <c r="G133" s="13">
        <v>5.32</v>
      </c>
      <c r="H133" s="13">
        <v>26.25</v>
      </c>
      <c r="I133" s="13">
        <v>15.785</v>
      </c>
    </row>
    <row r="134" spans="1:9">
      <c r="A134" s="10" t="s">
        <v>104</v>
      </c>
      <c r="B134" s="12">
        <v>45712</v>
      </c>
      <c r="C134" s="10" t="s">
        <v>7</v>
      </c>
      <c r="D134" s="10" t="s">
        <v>224</v>
      </c>
      <c r="E134" s="10" t="s">
        <v>8</v>
      </c>
      <c r="F134" s="13">
        <v>2.86</v>
      </c>
      <c r="G134" s="13">
        <v>1.7</v>
      </c>
      <c r="H134" s="13">
        <v>4.5599999999999996</v>
      </c>
      <c r="I134" s="13">
        <v>3.13</v>
      </c>
    </row>
    <row r="135" spans="1:9">
      <c r="A135" s="10" t="s">
        <v>105</v>
      </c>
      <c r="B135" s="12">
        <v>45857</v>
      </c>
      <c r="C135" s="10" t="s">
        <v>19</v>
      </c>
      <c r="D135" s="10" t="s">
        <v>226</v>
      </c>
      <c r="E135" s="10" t="s">
        <v>15</v>
      </c>
      <c r="F135" s="13">
        <v>3</v>
      </c>
      <c r="G135" s="13">
        <v>7.97</v>
      </c>
      <c r="H135" s="13">
        <v>10.969999999999999</v>
      </c>
      <c r="I135" s="13">
        <v>9.4699999999999989</v>
      </c>
    </row>
    <row r="136" spans="1:9">
      <c r="A136" s="10" t="s">
        <v>106</v>
      </c>
      <c r="B136" s="12">
        <v>45741</v>
      </c>
      <c r="C136" s="10" t="s">
        <v>5</v>
      </c>
      <c r="D136" s="10" t="s">
        <v>224</v>
      </c>
      <c r="E136" s="10" t="s">
        <v>15</v>
      </c>
      <c r="F136" s="13">
        <v>29.32</v>
      </c>
      <c r="G136" s="13">
        <v>1.62</v>
      </c>
      <c r="H136" s="13">
        <v>30.94</v>
      </c>
      <c r="I136" s="13">
        <v>16.28</v>
      </c>
    </row>
    <row r="137" spans="1:9">
      <c r="A137" s="10" t="s">
        <v>274</v>
      </c>
      <c r="B137" s="12">
        <v>46144</v>
      </c>
      <c r="C137" s="10" t="s">
        <v>9</v>
      </c>
      <c r="D137" s="10" t="s">
        <v>226</v>
      </c>
      <c r="E137" s="10" t="s">
        <v>12</v>
      </c>
      <c r="F137" s="13">
        <v>39.130000000000003</v>
      </c>
      <c r="G137" s="13">
        <v>1.54</v>
      </c>
      <c r="H137" s="13">
        <v>40.67</v>
      </c>
      <c r="I137" s="13">
        <v>21.105</v>
      </c>
    </row>
    <row r="138" spans="1:9">
      <c r="A138" s="10" t="s">
        <v>275</v>
      </c>
      <c r="B138" s="12">
        <v>46164</v>
      </c>
      <c r="C138" s="10" t="s">
        <v>19</v>
      </c>
      <c r="D138" s="10" t="s">
        <v>224</v>
      </c>
      <c r="E138" s="10" t="s">
        <v>8</v>
      </c>
      <c r="F138" s="13">
        <v>31.36</v>
      </c>
      <c r="G138" s="13">
        <v>3.94</v>
      </c>
      <c r="H138" s="13">
        <v>35.299999999999997</v>
      </c>
      <c r="I138" s="13">
        <v>19.619999999999997</v>
      </c>
    </row>
    <row r="139" spans="1:9">
      <c r="A139" s="10" t="s">
        <v>107</v>
      </c>
      <c r="B139" s="12">
        <v>45945</v>
      </c>
      <c r="C139" s="10" t="s">
        <v>14</v>
      </c>
      <c r="D139" s="10" t="s">
        <v>6</v>
      </c>
      <c r="E139" s="10" t="s">
        <v>12</v>
      </c>
      <c r="F139" s="13">
        <v>39.79</v>
      </c>
      <c r="G139" s="13">
        <v>8.2899999999999991</v>
      </c>
      <c r="H139" s="13">
        <v>48.08</v>
      </c>
      <c r="I139" s="13">
        <v>28.184999999999999</v>
      </c>
    </row>
    <row r="140" spans="1:9">
      <c r="A140" s="10" t="s">
        <v>276</v>
      </c>
      <c r="B140" s="12">
        <v>46195</v>
      </c>
      <c r="C140" s="10" t="s">
        <v>110</v>
      </c>
      <c r="D140" s="10" t="s">
        <v>224</v>
      </c>
      <c r="E140" s="10" t="s">
        <v>15</v>
      </c>
      <c r="F140" s="13">
        <v>-5</v>
      </c>
      <c r="G140" s="13">
        <v>10.36</v>
      </c>
      <c r="H140" s="13">
        <v>5.3599999999999994</v>
      </c>
      <c r="I140" s="13">
        <v>7.8599999999999994</v>
      </c>
    </row>
    <row r="141" spans="1:9">
      <c r="A141" s="10" t="s">
        <v>108</v>
      </c>
      <c r="B141" s="12">
        <v>45886</v>
      </c>
      <c r="C141" s="10" t="s">
        <v>5</v>
      </c>
      <c r="D141" s="10" t="s">
        <v>224</v>
      </c>
      <c r="E141" s="10" t="s">
        <v>15</v>
      </c>
      <c r="F141" s="13">
        <v>6.74</v>
      </c>
      <c r="G141" s="13">
        <v>5.84</v>
      </c>
      <c r="H141" s="13">
        <v>12.58</v>
      </c>
      <c r="I141" s="13">
        <v>9.2100000000000009</v>
      </c>
    </row>
    <row r="142" spans="1:9">
      <c r="A142" s="10" t="s">
        <v>109</v>
      </c>
      <c r="B142" s="12">
        <v>46175</v>
      </c>
      <c r="C142" s="10" t="s">
        <v>5</v>
      </c>
      <c r="D142" s="10" t="s">
        <v>6</v>
      </c>
      <c r="E142" s="10" t="s">
        <v>12</v>
      </c>
      <c r="F142" s="13">
        <v>42.17</v>
      </c>
      <c r="G142" s="13">
        <v>2.58</v>
      </c>
      <c r="H142" s="13">
        <v>44.75</v>
      </c>
      <c r="I142" s="13">
        <v>23.664999999999999</v>
      </c>
    </row>
    <row r="143" spans="1:9">
      <c r="A143" s="10" t="s">
        <v>277</v>
      </c>
      <c r="B143" s="12">
        <v>45698</v>
      </c>
      <c r="C143" s="10" t="s">
        <v>5</v>
      </c>
      <c r="D143" s="10" t="s">
        <v>224</v>
      </c>
      <c r="E143" s="10" t="s">
        <v>12</v>
      </c>
      <c r="F143" s="13">
        <v>17.95</v>
      </c>
      <c r="G143" s="13">
        <v>3.95</v>
      </c>
      <c r="H143" s="13">
        <v>21.9</v>
      </c>
      <c r="I143" s="13">
        <v>12.924999999999999</v>
      </c>
    </row>
    <row r="144" spans="1:9">
      <c r="A144" s="10" t="s">
        <v>111</v>
      </c>
      <c r="B144" s="12">
        <v>46226</v>
      </c>
      <c r="C144" s="10" t="s">
        <v>19</v>
      </c>
      <c r="D144" s="10" t="s">
        <v>226</v>
      </c>
      <c r="E144" s="10" t="s">
        <v>6</v>
      </c>
      <c r="F144" s="13">
        <v>24.03</v>
      </c>
      <c r="G144" s="13">
        <v>1.99</v>
      </c>
      <c r="H144" s="13">
        <v>26.02</v>
      </c>
      <c r="I144" s="13">
        <v>14.004999999999999</v>
      </c>
    </row>
    <row r="145" spans="1:9">
      <c r="A145" s="10" t="s">
        <v>278</v>
      </c>
      <c r="B145" s="12">
        <v>45864</v>
      </c>
      <c r="C145" s="10" t="s">
        <v>9</v>
      </c>
      <c r="D145" s="10" t="s">
        <v>226</v>
      </c>
      <c r="E145" s="10" t="s">
        <v>8</v>
      </c>
      <c r="F145" s="13">
        <v>43.79</v>
      </c>
      <c r="G145" s="13">
        <v>12.62</v>
      </c>
      <c r="H145" s="13">
        <v>56.41</v>
      </c>
      <c r="I145" s="13">
        <v>34.515000000000001</v>
      </c>
    </row>
    <row r="146" spans="1:9">
      <c r="A146" s="10" t="s">
        <v>279</v>
      </c>
      <c r="B146" s="12">
        <v>46039</v>
      </c>
      <c r="C146" s="10" t="s">
        <v>5</v>
      </c>
      <c r="D146" s="10" t="s">
        <v>226</v>
      </c>
      <c r="E146" s="10" t="s">
        <v>15</v>
      </c>
      <c r="F146" s="13">
        <v>29.38</v>
      </c>
      <c r="G146" s="13">
        <v>5.9</v>
      </c>
      <c r="H146" s="13">
        <v>35.28</v>
      </c>
      <c r="I146" s="13">
        <v>20.59</v>
      </c>
    </row>
    <row r="147" spans="1:9">
      <c r="A147" s="10" t="s">
        <v>112</v>
      </c>
      <c r="B147" s="12">
        <v>46213</v>
      </c>
      <c r="C147" s="10" t="s">
        <v>19</v>
      </c>
      <c r="D147" s="10" t="s">
        <v>224</v>
      </c>
      <c r="E147" s="10" t="s">
        <v>12</v>
      </c>
      <c r="F147" s="13">
        <v>5.86</v>
      </c>
      <c r="G147" s="13">
        <v>2.0299999999999998</v>
      </c>
      <c r="H147" s="13">
        <v>7.8900000000000006</v>
      </c>
      <c r="I147" s="13">
        <v>4.96</v>
      </c>
    </row>
    <row r="148" spans="1:9">
      <c r="A148" s="10" t="s">
        <v>113</v>
      </c>
      <c r="B148" s="12">
        <v>45999</v>
      </c>
      <c r="C148" s="10" t="s">
        <v>21</v>
      </c>
      <c r="D148" s="10" t="s">
        <v>226</v>
      </c>
      <c r="E148" s="10" t="s">
        <v>8</v>
      </c>
      <c r="F148" s="13">
        <v>6.71</v>
      </c>
      <c r="G148" s="13">
        <v>8.35</v>
      </c>
      <c r="H148" s="13">
        <v>15.059999999999999</v>
      </c>
      <c r="I148" s="13">
        <v>11.704999999999998</v>
      </c>
    </row>
    <row r="149" spans="1:9">
      <c r="A149" s="10" t="s">
        <v>280</v>
      </c>
      <c r="B149" s="12">
        <v>46165</v>
      </c>
      <c r="C149" s="10" t="s">
        <v>19</v>
      </c>
      <c r="D149" s="10" t="s">
        <v>226</v>
      </c>
      <c r="E149" s="10" t="s">
        <v>8</v>
      </c>
      <c r="F149" s="13">
        <v>10.16</v>
      </c>
      <c r="G149" s="13">
        <v>2.31</v>
      </c>
      <c r="H149" s="13">
        <v>12.47</v>
      </c>
      <c r="I149" s="13">
        <v>7.3900000000000006</v>
      </c>
    </row>
    <row r="150" spans="1:9">
      <c r="A150" s="10" t="s">
        <v>114</v>
      </c>
      <c r="B150" s="12">
        <v>45732</v>
      </c>
      <c r="C150" s="10" t="s">
        <v>21</v>
      </c>
      <c r="D150" s="10" t="s">
        <v>226</v>
      </c>
      <c r="E150" s="10" t="s">
        <v>8</v>
      </c>
      <c r="F150" s="13">
        <v>11.1</v>
      </c>
      <c r="G150" s="13">
        <v>8.24</v>
      </c>
      <c r="H150" s="13">
        <v>19.34</v>
      </c>
      <c r="I150" s="13">
        <v>13.79</v>
      </c>
    </row>
    <row r="151" spans="1:9">
      <c r="A151" s="10" t="s">
        <v>281</v>
      </c>
      <c r="B151" s="12">
        <v>46039</v>
      </c>
      <c r="C151" s="10" t="s">
        <v>5</v>
      </c>
      <c r="D151" s="10" t="s">
        <v>6</v>
      </c>
      <c r="E151" s="10" t="s">
        <v>8</v>
      </c>
      <c r="F151" s="13">
        <v>15.77</v>
      </c>
      <c r="G151" s="13">
        <v>4.72</v>
      </c>
      <c r="H151" s="13">
        <v>20.49</v>
      </c>
      <c r="I151" s="13">
        <v>12.604999999999999</v>
      </c>
    </row>
    <row r="152" spans="1:9">
      <c r="A152" s="10" t="s">
        <v>115</v>
      </c>
      <c r="B152" s="12">
        <v>46131</v>
      </c>
      <c r="C152" s="10" t="s">
        <v>19</v>
      </c>
      <c r="D152" s="10" t="s">
        <v>226</v>
      </c>
      <c r="E152" s="10" t="s">
        <v>8</v>
      </c>
      <c r="F152" s="13">
        <v>14.72</v>
      </c>
      <c r="G152" s="13">
        <v>2.93</v>
      </c>
      <c r="H152" s="13">
        <v>17.650000000000002</v>
      </c>
      <c r="I152" s="13">
        <v>10.290000000000001</v>
      </c>
    </row>
    <row r="153" spans="1:9">
      <c r="A153" s="10" t="s">
        <v>116</v>
      </c>
      <c r="B153" s="12">
        <v>45986</v>
      </c>
      <c r="C153" s="10" t="s">
        <v>9</v>
      </c>
      <c r="D153" s="10" t="s">
        <v>224</v>
      </c>
      <c r="E153" s="10" t="s">
        <v>12</v>
      </c>
      <c r="F153" s="13">
        <v>44.59</v>
      </c>
      <c r="G153" s="13">
        <v>1.86</v>
      </c>
      <c r="H153" s="13">
        <v>46.45</v>
      </c>
      <c r="I153" s="13">
        <v>24.155000000000001</v>
      </c>
    </row>
    <row r="154" spans="1:9">
      <c r="A154" s="10" t="s">
        <v>117</v>
      </c>
      <c r="B154" s="12">
        <v>45870</v>
      </c>
      <c r="C154" s="10" t="s">
        <v>21</v>
      </c>
      <c r="D154" s="10" t="s">
        <v>226</v>
      </c>
      <c r="E154" s="10" t="s">
        <v>12</v>
      </c>
      <c r="F154" s="13">
        <v>12.92</v>
      </c>
      <c r="G154" s="13">
        <v>3.37</v>
      </c>
      <c r="H154" s="13">
        <v>16.29</v>
      </c>
      <c r="I154" s="13">
        <v>9.83</v>
      </c>
    </row>
    <row r="155" spans="1:9">
      <c r="A155" s="10" t="s">
        <v>118</v>
      </c>
      <c r="B155" s="12">
        <v>45811</v>
      </c>
      <c r="C155" s="10" t="s">
        <v>5</v>
      </c>
      <c r="D155" s="10" t="s">
        <v>224</v>
      </c>
      <c r="E155" s="10" t="s">
        <v>12</v>
      </c>
      <c r="F155" s="13">
        <v>85</v>
      </c>
      <c r="G155" s="13">
        <v>1.66</v>
      </c>
      <c r="H155" s="13">
        <v>86.66</v>
      </c>
      <c r="I155" s="13">
        <v>44.16</v>
      </c>
    </row>
    <row r="156" spans="1:9">
      <c r="A156" s="10" t="s">
        <v>282</v>
      </c>
      <c r="B156" s="12">
        <v>45813</v>
      </c>
      <c r="C156" s="10" t="s">
        <v>21</v>
      </c>
      <c r="D156" s="10" t="s">
        <v>6</v>
      </c>
      <c r="E156" s="10" t="s">
        <v>6</v>
      </c>
      <c r="F156" s="13">
        <v>11.24</v>
      </c>
      <c r="G156" s="13">
        <v>4</v>
      </c>
      <c r="H156" s="13">
        <v>15.24</v>
      </c>
      <c r="I156" s="13">
        <v>9.620000000000001</v>
      </c>
    </row>
    <row r="157" spans="1:9">
      <c r="A157" s="10" t="s">
        <v>283</v>
      </c>
      <c r="B157" s="12">
        <v>45883</v>
      </c>
      <c r="C157" s="10" t="s">
        <v>5</v>
      </c>
      <c r="D157" s="10" t="s">
        <v>226</v>
      </c>
      <c r="E157" s="10" t="s">
        <v>6</v>
      </c>
      <c r="F157" s="13">
        <v>15.8</v>
      </c>
      <c r="G157" s="13">
        <v>4.26</v>
      </c>
      <c r="H157" s="13">
        <v>20.060000000000002</v>
      </c>
      <c r="I157" s="13">
        <v>12.16</v>
      </c>
    </row>
    <row r="158" spans="1:9">
      <c r="A158" s="10" t="s">
        <v>119</v>
      </c>
      <c r="B158" s="12">
        <v>46115</v>
      </c>
      <c r="C158" s="10" t="s">
        <v>5</v>
      </c>
      <c r="D158" s="10" t="s">
        <v>226</v>
      </c>
      <c r="E158" s="10" t="s">
        <v>8</v>
      </c>
      <c r="F158" s="13">
        <v>4.34</v>
      </c>
      <c r="G158" s="13">
        <v>2.08</v>
      </c>
      <c r="H158" s="13">
        <v>6.42</v>
      </c>
      <c r="I158" s="13">
        <v>4.25</v>
      </c>
    </row>
    <row r="159" spans="1:9">
      <c r="A159" s="10" t="s">
        <v>120</v>
      </c>
      <c r="B159" s="12">
        <v>45961</v>
      </c>
      <c r="C159" s="10" t="s">
        <v>19</v>
      </c>
      <c r="D159" s="10" t="s">
        <v>226</v>
      </c>
      <c r="E159" s="10" t="s">
        <v>8</v>
      </c>
      <c r="F159" s="13">
        <v>28.24</v>
      </c>
      <c r="G159" s="13">
        <v>2.37</v>
      </c>
      <c r="H159" s="13">
        <v>30.61</v>
      </c>
      <c r="I159" s="13">
        <v>16.489999999999998</v>
      </c>
    </row>
    <row r="160" spans="1:9">
      <c r="A160" s="10" t="s">
        <v>284</v>
      </c>
      <c r="B160" s="12">
        <v>45809</v>
      </c>
      <c r="C160" s="10" t="s">
        <v>5</v>
      </c>
      <c r="D160" s="10" t="s">
        <v>224</v>
      </c>
      <c r="E160" s="10" t="s">
        <v>8</v>
      </c>
      <c r="F160" s="13">
        <v>6.68</v>
      </c>
      <c r="G160" s="13">
        <v>2.35</v>
      </c>
      <c r="H160" s="13">
        <v>9.0299999999999994</v>
      </c>
      <c r="I160" s="13">
        <v>5.6899999999999995</v>
      </c>
    </row>
    <row r="161" spans="1:9">
      <c r="A161" s="10" t="s">
        <v>121</v>
      </c>
      <c r="B161" s="12">
        <v>45724</v>
      </c>
      <c r="C161" s="10" t="s">
        <v>14</v>
      </c>
      <c r="D161" s="10" t="s">
        <v>224</v>
      </c>
      <c r="E161" s="10" t="s">
        <v>15</v>
      </c>
      <c r="F161" s="13">
        <v>35.83</v>
      </c>
      <c r="G161" s="13">
        <v>1.31</v>
      </c>
      <c r="H161" s="13">
        <v>37.14</v>
      </c>
      <c r="I161" s="13">
        <v>19.225000000000001</v>
      </c>
    </row>
    <row r="162" spans="1:9">
      <c r="A162" s="10" t="s">
        <v>122</v>
      </c>
      <c r="B162" s="12">
        <v>45965</v>
      </c>
      <c r="C162" s="10" t="s">
        <v>9</v>
      </c>
      <c r="D162" s="10" t="s">
        <v>226</v>
      </c>
      <c r="E162" s="10" t="s">
        <v>15</v>
      </c>
      <c r="F162" s="13">
        <v>39.229999999999997</v>
      </c>
      <c r="G162" s="13">
        <v>1.57</v>
      </c>
      <c r="H162" s="13">
        <v>40.799999999999997</v>
      </c>
      <c r="I162" s="13">
        <v>21.184999999999999</v>
      </c>
    </row>
    <row r="163" spans="1:9">
      <c r="A163" s="10" t="s">
        <v>123</v>
      </c>
      <c r="B163" s="12">
        <v>45949</v>
      </c>
      <c r="C163" s="10" t="s">
        <v>21</v>
      </c>
      <c r="D163" s="10" t="s">
        <v>226</v>
      </c>
      <c r="E163" s="10" t="s">
        <v>12</v>
      </c>
      <c r="F163" s="13">
        <v>4.8</v>
      </c>
      <c r="G163" s="13">
        <v>3.38</v>
      </c>
      <c r="H163" s="13">
        <v>8.18</v>
      </c>
      <c r="I163" s="13">
        <v>5.7799999999999994</v>
      </c>
    </row>
    <row r="164" spans="1:9">
      <c r="A164" s="10" t="s">
        <v>285</v>
      </c>
      <c r="B164" s="12">
        <v>45860</v>
      </c>
      <c r="C164" s="10" t="s">
        <v>14</v>
      </c>
      <c r="D164" s="10" t="s">
        <v>224</v>
      </c>
      <c r="E164" s="10" t="s">
        <v>12</v>
      </c>
      <c r="F164" s="13">
        <v>39.43</v>
      </c>
      <c r="G164" s="13">
        <v>3.21</v>
      </c>
      <c r="H164" s="13">
        <v>42.64</v>
      </c>
      <c r="I164" s="13">
        <v>22.925000000000001</v>
      </c>
    </row>
    <row r="165" spans="1:9">
      <c r="A165" s="10" t="s">
        <v>124</v>
      </c>
      <c r="B165" s="12">
        <v>45921</v>
      </c>
      <c r="C165" s="10" t="s">
        <v>14</v>
      </c>
      <c r="D165" s="10" t="s">
        <v>6</v>
      </c>
      <c r="E165" s="10" t="s">
        <v>12</v>
      </c>
      <c r="F165" s="13">
        <v>29.62</v>
      </c>
      <c r="G165" s="13">
        <v>9.0500000000000007</v>
      </c>
      <c r="H165" s="13">
        <v>38.67</v>
      </c>
      <c r="I165" s="13">
        <v>23.86</v>
      </c>
    </row>
    <row r="166" spans="1:9">
      <c r="A166" s="10" t="s">
        <v>286</v>
      </c>
      <c r="B166" s="12">
        <v>45899</v>
      </c>
      <c r="C166" s="10" t="s">
        <v>5</v>
      </c>
      <c r="D166" s="10" t="s">
        <v>226</v>
      </c>
      <c r="E166" s="10" t="s">
        <v>12</v>
      </c>
      <c r="F166" s="13">
        <v>23.95</v>
      </c>
      <c r="G166" s="13">
        <v>1.05</v>
      </c>
      <c r="H166" s="13">
        <v>25</v>
      </c>
      <c r="I166" s="13">
        <v>13.025</v>
      </c>
    </row>
    <row r="167" spans="1:9">
      <c r="A167" s="10" t="s">
        <v>287</v>
      </c>
      <c r="B167" s="12">
        <v>45678</v>
      </c>
      <c r="C167" s="10" t="s">
        <v>9</v>
      </c>
      <c r="D167" s="10" t="s">
        <v>226</v>
      </c>
      <c r="E167" s="10" t="s">
        <v>12</v>
      </c>
      <c r="F167" s="13">
        <v>42.4</v>
      </c>
      <c r="G167" s="13">
        <v>7.54</v>
      </c>
      <c r="H167" s="13">
        <v>49.94</v>
      </c>
      <c r="I167" s="13">
        <v>28.74</v>
      </c>
    </row>
    <row r="168" spans="1:9">
      <c r="A168" s="10" t="s">
        <v>125</v>
      </c>
      <c r="B168" s="12">
        <v>46071</v>
      </c>
      <c r="C168" s="10" t="s">
        <v>7</v>
      </c>
      <c r="D168" s="10" t="s">
        <v>224</v>
      </c>
      <c r="E168" s="10" t="s">
        <v>12</v>
      </c>
      <c r="F168" s="13">
        <v>41.75</v>
      </c>
      <c r="G168" s="13">
        <v>4.7699999999999996</v>
      </c>
      <c r="H168" s="13">
        <v>46.519999999999996</v>
      </c>
      <c r="I168" s="13">
        <v>25.644999999999996</v>
      </c>
    </row>
    <row r="169" spans="1:9">
      <c r="A169" s="10" t="s">
        <v>126</v>
      </c>
      <c r="B169" s="12">
        <v>46017</v>
      </c>
      <c r="C169" s="10" t="s">
        <v>5</v>
      </c>
      <c r="D169" s="10" t="s">
        <v>224</v>
      </c>
      <c r="E169" s="10" t="s">
        <v>12</v>
      </c>
      <c r="F169" s="13">
        <v>28.53</v>
      </c>
      <c r="G169" s="13">
        <v>7.58</v>
      </c>
      <c r="H169" s="13">
        <v>36.11</v>
      </c>
      <c r="I169" s="13">
        <v>21.844999999999999</v>
      </c>
    </row>
    <row r="170" spans="1:9">
      <c r="A170" s="10" t="s">
        <v>288</v>
      </c>
      <c r="B170" s="12">
        <v>46177</v>
      </c>
      <c r="C170" s="10" t="s">
        <v>5</v>
      </c>
      <c r="D170" s="10" t="s">
        <v>226</v>
      </c>
      <c r="E170" s="10" t="s">
        <v>6</v>
      </c>
      <c r="F170" s="13">
        <v>21.19</v>
      </c>
      <c r="G170" s="13">
        <v>5.32</v>
      </c>
      <c r="H170" s="13">
        <v>26.51</v>
      </c>
      <c r="I170" s="13">
        <v>15.915000000000001</v>
      </c>
    </row>
    <row r="171" spans="1:9">
      <c r="A171" s="10" t="s">
        <v>127</v>
      </c>
      <c r="B171" s="12">
        <v>46087</v>
      </c>
      <c r="C171" s="10" t="s">
        <v>14</v>
      </c>
      <c r="D171" s="10" t="s">
        <v>226</v>
      </c>
      <c r="E171" s="10" t="s">
        <v>15</v>
      </c>
      <c r="F171" s="13">
        <v>36.450000000000003</v>
      </c>
      <c r="G171" s="13">
        <v>3.09</v>
      </c>
      <c r="H171" s="13">
        <v>39.540000000000006</v>
      </c>
      <c r="I171" s="13">
        <v>21.315000000000005</v>
      </c>
    </row>
    <row r="172" spans="1:9">
      <c r="A172" s="10" t="s">
        <v>128</v>
      </c>
      <c r="B172" s="12">
        <v>46015</v>
      </c>
      <c r="C172" s="10" t="s">
        <v>9</v>
      </c>
      <c r="D172" s="10" t="s">
        <v>226</v>
      </c>
      <c r="E172" s="10" t="s">
        <v>8</v>
      </c>
      <c r="F172" s="13">
        <v>3.95</v>
      </c>
      <c r="G172" s="13">
        <v>4.63</v>
      </c>
      <c r="H172" s="13">
        <v>8.58</v>
      </c>
      <c r="I172" s="13">
        <v>6.6050000000000004</v>
      </c>
    </row>
    <row r="173" spans="1:9">
      <c r="A173" s="10" t="s">
        <v>129</v>
      </c>
      <c r="B173" s="12">
        <v>46143</v>
      </c>
      <c r="C173" s="10" t="s">
        <v>5</v>
      </c>
      <c r="D173" s="10" t="s">
        <v>226</v>
      </c>
      <c r="E173" s="10" t="s">
        <v>12</v>
      </c>
      <c r="F173" s="13">
        <v>38.68</v>
      </c>
      <c r="G173" s="13">
        <v>3.4</v>
      </c>
      <c r="H173" s="13">
        <v>42.08</v>
      </c>
      <c r="I173" s="13">
        <v>22.74</v>
      </c>
    </row>
    <row r="174" spans="1:9">
      <c r="A174" s="10" t="s">
        <v>130</v>
      </c>
      <c r="B174" s="12">
        <v>45680</v>
      </c>
      <c r="C174" s="10" t="s">
        <v>5</v>
      </c>
      <c r="D174" s="10" t="s">
        <v>6</v>
      </c>
      <c r="E174" s="10" t="s">
        <v>8</v>
      </c>
      <c r="F174" s="13">
        <v>43.21</v>
      </c>
      <c r="G174" s="13">
        <v>7.03</v>
      </c>
      <c r="H174" s="13">
        <v>50.24</v>
      </c>
      <c r="I174" s="13">
        <v>28.635000000000002</v>
      </c>
    </row>
    <row r="175" spans="1:9">
      <c r="A175" s="10" t="s">
        <v>131</v>
      </c>
      <c r="B175" s="12">
        <v>45737</v>
      </c>
      <c r="C175" s="10" t="s">
        <v>7</v>
      </c>
      <c r="D175" s="10" t="s">
        <v>224</v>
      </c>
      <c r="E175" s="10" t="s">
        <v>15</v>
      </c>
      <c r="F175" s="13">
        <v>14.81</v>
      </c>
      <c r="G175" s="13">
        <v>7.61</v>
      </c>
      <c r="H175" s="13">
        <v>22.42</v>
      </c>
      <c r="I175" s="13">
        <v>15.015000000000001</v>
      </c>
    </row>
    <row r="176" spans="1:9">
      <c r="A176" s="10" t="s">
        <v>132</v>
      </c>
      <c r="B176" s="12">
        <v>46004</v>
      </c>
      <c r="C176" s="10" t="s">
        <v>21</v>
      </c>
      <c r="D176" s="10" t="s">
        <v>224</v>
      </c>
      <c r="E176" s="10" t="s">
        <v>12</v>
      </c>
      <c r="F176" s="13">
        <v>16.079999999999998</v>
      </c>
      <c r="G176" s="13">
        <v>11.58</v>
      </c>
      <c r="H176" s="13">
        <v>27.659999999999997</v>
      </c>
      <c r="I176" s="13">
        <v>19.619999999999997</v>
      </c>
    </row>
    <row r="177" spans="1:9">
      <c r="A177" s="10" t="s">
        <v>133</v>
      </c>
      <c r="B177" s="12">
        <v>46063</v>
      </c>
      <c r="C177" s="10" t="s">
        <v>9</v>
      </c>
      <c r="D177" s="10" t="s">
        <v>226</v>
      </c>
      <c r="E177" s="10" t="s">
        <v>8</v>
      </c>
      <c r="F177" s="13">
        <v>4.6500000000000004</v>
      </c>
      <c r="G177" s="13">
        <v>3.18</v>
      </c>
      <c r="H177" s="13">
        <v>7.83</v>
      </c>
      <c r="I177" s="13">
        <v>5.5049999999999999</v>
      </c>
    </row>
    <row r="178" spans="1:9">
      <c r="A178" s="10" t="s">
        <v>134</v>
      </c>
      <c r="B178" s="12">
        <v>45967</v>
      </c>
      <c r="C178" s="10" t="s">
        <v>19</v>
      </c>
      <c r="D178" s="10" t="s">
        <v>224</v>
      </c>
      <c r="E178" s="10" t="s">
        <v>8</v>
      </c>
      <c r="F178" s="13">
        <v>68.77</v>
      </c>
      <c r="G178" s="13">
        <v>8.42</v>
      </c>
      <c r="H178" s="13">
        <v>77.19</v>
      </c>
      <c r="I178" s="13">
        <v>42.805</v>
      </c>
    </row>
    <row r="179" spans="1:9">
      <c r="A179" s="10" t="s">
        <v>135</v>
      </c>
      <c r="B179" s="12">
        <v>46100</v>
      </c>
      <c r="C179" s="10" t="s">
        <v>21</v>
      </c>
      <c r="D179" s="10" t="s">
        <v>226</v>
      </c>
      <c r="E179" s="10" t="s">
        <v>8</v>
      </c>
      <c r="F179" s="13">
        <v>47.6</v>
      </c>
      <c r="G179" s="13">
        <v>3.8</v>
      </c>
      <c r="H179" s="13">
        <v>51.4</v>
      </c>
      <c r="I179" s="13">
        <v>27.599999999999998</v>
      </c>
    </row>
    <row r="180" spans="1:9">
      <c r="A180" s="10" t="s">
        <v>136</v>
      </c>
      <c r="B180" s="12">
        <v>46102</v>
      </c>
      <c r="C180" s="10" t="s">
        <v>7</v>
      </c>
      <c r="D180" s="10" t="s">
        <v>224</v>
      </c>
      <c r="E180" s="10" t="s">
        <v>8</v>
      </c>
      <c r="F180" s="13">
        <v>12.02</v>
      </c>
      <c r="G180" s="13">
        <v>5.31</v>
      </c>
      <c r="H180" s="13">
        <v>17.329999999999998</v>
      </c>
      <c r="I180" s="13">
        <v>11.319999999999999</v>
      </c>
    </row>
    <row r="181" spans="1:9">
      <c r="A181" s="10" t="s">
        <v>137</v>
      </c>
      <c r="B181" s="12">
        <v>45714</v>
      </c>
      <c r="C181" s="10" t="s">
        <v>5</v>
      </c>
      <c r="D181" s="10" t="s">
        <v>224</v>
      </c>
      <c r="E181" s="10" t="s">
        <v>15</v>
      </c>
      <c r="F181" s="13">
        <v>21.7</v>
      </c>
      <c r="G181" s="13">
        <v>3.62</v>
      </c>
      <c r="H181" s="13">
        <v>25.32</v>
      </c>
      <c r="I181" s="13">
        <v>14.47</v>
      </c>
    </row>
    <row r="182" spans="1:9">
      <c r="A182" s="10" t="s">
        <v>138</v>
      </c>
      <c r="B182" s="12">
        <v>46011</v>
      </c>
      <c r="C182" s="10" t="s">
        <v>5</v>
      </c>
      <c r="D182" s="10" t="s">
        <v>6</v>
      </c>
      <c r="E182" s="10" t="s">
        <v>12</v>
      </c>
      <c r="F182" s="13">
        <v>23.04</v>
      </c>
      <c r="G182" s="13">
        <v>3.26</v>
      </c>
      <c r="H182" s="13">
        <v>26.299999999999997</v>
      </c>
      <c r="I182" s="13">
        <v>14.779999999999998</v>
      </c>
    </row>
    <row r="183" spans="1:9">
      <c r="A183" s="10" t="s">
        <v>289</v>
      </c>
      <c r="B183" s="12">
        <v>46078</v>
      </c>
      <c r="C183" s="10" t="s">
        <v>21</v>
      </c>
      <c r="D183" s="10" t="s">
        <v>226</v>
      </c>
      <c r="E183" s="10" t="s">
        <v>6</v>
      </c>
      <c r="F183" s="13">
        <v>15.45</v>
      </c>
      <c r="G183" s="13">
        <v>4.4000000000000004</v>
      </c>
      <c r="H183" s="13">
        <v>19.850000000000001</v>
      </c>
      <c r="I183" s="13">
        <v>12.125</v>
      </c>
    </row>
    <row r="184" spans="1:9">
      <c r="A184" s="10" t="s">
        <v>139</v>
      </c>
      <c r="B184" s="12">
        <v>46180</v>
      </c>
      <c r="C184" s="10" t="s">
        <v>5</v>
      </c>
      <c r="D184" s="10" t="s">
        <v>226</v>
      </c>
      <c r="E184" s="10" t="s">
        <v>15</v>
      </c>
      <c r="F184" s="13">
        <v>26.73</v>
      </c>
      <c r="G184" s="13">
        <v>4.78</v>
      </c>
      <c r="H184" s="13">
        <v>31.51</v>
      </c>
      <c r="I184" s="13">
        <v>18.145</v>
      </c>
    </row>
    <row r="185" spans="1:9">
      <c r="A185" s="10" t="s">
        <v>140</v>
      </c>
      <c r="B185" s="12">
        <v>45965</v>
      </c>
      <c r="C185" s="10" t="s">
        <v>5</v>
      </c>
      <c r="D185" s="10" t="s">
        <v>224</v>
      </c>
      <c r="E185" s="10" t="s">
        <v>8</v>
      </c>
      <c r="F185" s="13">
        <v>24.66</v>
      </c>
      <c r="G185" s="13">
        <v>11.33</v>
      </c>
      <c r="H185" s="13">
        <v>35.99</v>
      </c>
      <c r="I185" s="13">
        <v>23.66</v>
      </c>
    </row>
    <row r="186" spans="1:9">
      <c r="A186" s="10" t="s">
        <v>141</v>
      </c>
      <c r="B186" s="12">
        <v>45948</v>
      </c>
      <c r="C186" s="10" t="s">
        <v>19</v>
      </c>
      <c r="D186" s="10" t="s">
        <v>226</v>
      </c>
      <c r="E186" s="10" t="s">
        <v>15</v>
      </c>
      <c r="F186" s="13">
        <v>24.68</v>
      </c>
      <c r="G186" s="13">
        <v>8.2799999999999994</v>
      </c>
      <c r="H186" s="13">
        <v>32.96</v>
      </c>
      <c r="I186" s="13">
        <v>20.62</v>
      </c>
    </row>
    <row r="187" spans="1:9">
      <c r="A187" s="10" t="s">
        <v>142</v>
      </c>
      <c r="B187" s="12">
        <v>46022</v>
      </c>
      <c r="C187" s="10" t="s">
        <v>19</v>
      </c>
      <c r="D187" s="10" t="s">
        <v>226</v>
      </c>
      <c r="E187" s="10" t="s">
        <v>15</v>
      </c>
      <c r="F187" s="13">
        <v>15.45</v>
      </c>
      <c r="G187" s="13">
        <v>3.85</v>
      </c>
      <c r="H187" s="13">
        <v>19.3</v>
      </c>
      <c r="I187" s="13">
        <v>11.575000000000001</v>
      </c>
    </row>
    <row r="188" spans="1:9">
      <c r="A188" s="10" t="s">
        <v>290</v>
      </c>
      <c r="B188" s="12">
        <v>46206</v>
      </c>
      <c r="C188" s="10" t="s">
        <v>9</v>
      </c>
      <c r="D188" s="10" t="s">
        <v>226</v>
      </c>
      <c r="E188" s="10" t="s">
        <v>8</v>
      </c>
      <c r="F188" s="13">
        <v>3.76</v>
      </c>
      <c r="G188" s="13">
        <v>1.82</v>
      </c>
      <c r="H188" s="13">
        <v>5.58</v>
      </c>
      <c r="I188" s="13">
        <v>3.7</v>
      </c>
    </row>
    <row r="189" spans="1:9">
      <c r="A189" s="10" t="s">
        <v>291</v>
      </c>
      <c r="B189" s="12">
        <v>45757</v>
      </c>
      <c r="C189" s="10" t="s">
        <v>5</v>
      </c>
      <c r="D189" s="10" t="s">
        <v>224</v>
      </c>
      <c r="E189" s="10" t="s">
        <v>8</v>
      </c>
      <c r="F189" s="13">
        <v>26.61</v>
      </c>
      <c r="G189" s="13">
        <v>2.6</v>
      </c>
      <c r="H189" s="13">
        <v>29.21</v>
      </c>
      <c r="I189" s="13">
        <v>15.905000000000001</v>
      </c>
    </row>
    <row r="190" spans="1:9">
      <c r="A190" s="10" t="s">
        <v>143</v>
      </c>
      <c r="B190" s="12">
        <v>45838</v>
      </c>
      <c r="C190" s="10" t="s">
        <v>21</v>
      </c>
      <c r="D190" s="10" t="s">
        <v>6</v>
      </c>
      <c r="E190" s="10" t="s">
        <v>8</v>
      </c>
      <c r="F190" s="13">
        <v>9.9499999999999993</v>
      </c>
      <c r="G190" s="13">
        <v>4.74</v>
      </c>
      <c r="H190" s="13">
        <v>14.69</v>
      </c>
      <c r="I190" s="13">
        <v>9.7149999999999999</v>
      </c>
    </row>
    <row r="191" spans="1:9">
      <c r="A191" s="10" t="s">
        <v>292</v>
      </c>
      <c r="B191" s="12">
        <v>46143</v>
      </c>
      <c r="C191" s="10" t="s">
        <v>5</v>
      </c>
      <c r="D191" s="10" t="s">
        <v>224</v>
      </c>
      <c r="E191" s="10" t="s">
        <v>12</v>
      </c>
      <c r="F191" s="13">
        <v>24.94</v>
      </c>
      <c r="G191" s="13">
        <v>2.5299999999999998</v>
      </c>
      <c r="H191" s="13">
        <v>27.470000000000002</v>
      </c>
      <c r="I191" s="13">
        <v>15.000000000000002</v>
      </c>
    </row>
    <row r="192" spans="1:9">
      <c r="A192" s="10" t="s">
        <v>293</v>
      </c>
      <c r="B192" s="12">
        <v>45961</v>
      </c>
      <c r="C192" s="10" t="s">
        <v>7</v>
      </c>
      <c r="D192" s="10" t="s">
        <v>226</v>
      </c>
      <c r="E192" s="10" t="s">
        <v>8</v>
      </c>
      <c r="F192" s="13">
        <v>15.56</v>
      </c>
      <c r="G192" s="13">
        <v>-1</v>
      </c>
      <c r="H192" s="13">
        <v>14.56</v>
      </c>
      <c r="I192" s="13">
        <v>6.78</v>
      </c>
    </row>
    <row r="193" spans="1:9">
      <c r="A193" s="10" t="s">
        <v>144</v>
      </c>
      <c r="B193" s="12">
        <v>46058</v>
      </c>
      <c r="C193" s="10" t="s">
        <v>5</v>
      </c>
      <c r="D193" s="10" t="s">
        <v>6</v>
      </c>
      <c r="E193" s="10" t="s">
        <v>8</v>
      </c>
      <c r="F193" s="13">
        <v>24.78</v>
      </c>
      <c r="G193" s="13">
        <v>2.52</v>
      </c>
      <c r="H193" s="13">
        <v>27.3</v>
      </c>
      <c r="I193" s="13">
        <v>14.91</v>
      </c>
    </row>
    <row r="194" spans="1:9">
      <c r="A194" s="10" t="s">
        <v>145</v>
      </c>
      <c r="B194" s="12">
        <v>45890</v>
      </c>
      <c r="C194" s="10" t="s">
        <v>5</v>
      </c>
      <c r="D194" s="10" t="s">
        <v>226</v>
      </c>
      <c r="E194" s="10" t="s">
        <v>8</v>
      </c>
      <c r="F194" s="13">
        <v>29.57</v>
      </c>
      <c r="G194" s="13">
        <v>2.52</v>
      </c>
      <c r="H194" s="13">
        <v>32.090000000000003</v>
      </c>
      <c r="I194" s="13">
        <v>17.305000000000003</v>
      </c>
    </row>
    <row r="195" spans="1:9">
      <c r="A195" s="10" t="s">
        <v>146</v>
      </c>
      <c r="B195" s="12">
        <v>46094</v>
      </c>
      <c r="C195" s="10" t="s">
        <v>19</v>
      </c>
      <c r="D195" s="10" t="s">
        <v>226</v>
      </c>
      <c r="E195" s="10" t="s">
        <v>12</v>
      </c>
      <c r="F195" s="13">
        <v>20.79</v>
      </c>
      <c r="G195" s="13">
        <v>3.96</v>
      </c>
      <c r="H195" s="13">
        <v>24.75</v>
      </c>
      <c r="I195" s="13">
        <v>14.355</v>
      </c>
    </row>
    <row r="196" spans="1:9">
      <c r="A196" s="10" t="s">
        <v>147</v>
      </c>
      <c r="B196" s="12">
        <v>45887</v>
      </c>
      <c r="C196" s="10" t="s">
        <v>14</v>
      </c>
      <c r="D196" s="10" t="s">
        <v>226</v>
      </c>
      <c r="E196" s="10" t="s">
        <v>12</v>
      </c>
      <c r="F196" s="13">
        <v>22.64</v>
      </c>
      <c r="G196" s="13">
        <v>5.2</v>
      </c>
      <c r="H196" s="13">
        <v>27.84</v>
      </c>
      <c r="I196" s="13">
        <v>16.52</v>
      </c>
    </row>
    <row r="197" spans="1:9">
      <c r="A197" s="10" t="s">
        <v>148</v>
      </c>
      <c r="B197" s="12">
        <v>46080</v>
      </c>
      <c r="C197" s="10" t="s">
        <v>5</v>
      </c>
      <c r="D197" s="10" t="s">
        <v>224</v>
      </c>
      <c r="E197" s="10" t="s">
        <v>8</v>
      </c>
      <c r="F197" s="13">
        <v>25.84</v>
      </c>
      <c r="G197" s="13">
        <v>3.06</v>
      </c>
      <c r="H197" s="13">
        <v>28.9</v>
      </c>
      <c r="I197" s="13">
        <v>15.979999999999999</v>
      </c>
    </row>
    <row r="198" spans="1:9">
      <c r="A198" s="10" t="s">
        <v>294</v>
      </c>
      <c r="B198" s="12">
        <v>45672</v>
      </c>
      <c r="C198" s="10" t="s">
        <v>5</v>
      </c>
      <c r="D198" s="10" t="s">
        <v>226</v>
      </c>
      <c r="E198" s="10" t="s">
        <v>8</v>
      </c>
      <c r="F198" s="13">
        <v>32.549999999999997</v>
      </c>
      <c r="G198" s="13">
        <v>2.15</v>
      </c>
      <c r="H198" s="13">
        <v>34.699999999999996</v>
      </c>
      <c r="I198" s="13">
        <v>18.424999999999997</v>
      </c>
    </row>
    <row r="199" spans="1:9">
      <c r="A199" s="10" t="s">
        <v>295</v>
      </c>
      <c r="B199" s="12">
        <v>46083</v>
      </c>
      <c r="C199" s="10" t="s">
        <v>5</v>
      </c>
      <c r="D199" s="10" t="s">
        <v>6</v>
      </c>
      <c r="E199" s="10" t="s">
        <v>15</v>
      </c>
      <c r="F199" s="13">
        <v>21.39</v>
      </c>
      <c r="G199" s="13">
        <v>14.27</v>
      </c>
      <c r="H199" s="13">
        <v>35.659999999999997</v>
      </c>
      <c r="I199" s="13">
        <v>24.964999999999996</v>
      </c>
    </row>
    <row r="200" spans="1:9">
      <c r="A200" s="10" t="s">
        <v>149</v>
      </c>
      <c r="B200" s="12">
        <v>45883</v>
      </c>
      <c r="C200" s="10" t="s">
        <v>5</v>
      </c>
      <c r="D200" s="10" t="s">
        <v>224</v>
      </c>
      <c r="E200" s="10" t="s">
        <v>12</v>
      </c>
      <c r="F200" s="13">
        <v>9.7200000000000006</v>
      </c>
      <c r="G200" s="13">
        <v>4.5599999999999996</v>
      </c>
      <c r="H200" s="13">
        <v>14.280000000000001</v>
      </c>
      <c r="I200" s="13">
        <v>9.42</v>
      </c>
    </row>
    <row r="201" spans="1:9">
      <c r="A201" s="10" t="s">
        <v>296</v>
      </c>
      <c r="B201" s="12">
        <v>45980</v>
      </c>
      <c r="C201" s="10" t="s">
        <v>5</v>
      </c>
      <c r="D201" s="10" t="s">
        <v>224</v>
      </c>
      <c r="E201" s="10" t="s">
        <v>8</v>
      </c>
      <c r="F201" s="13">
        <v>65.06</v>
      </c>
      <c r="G201" s="13">
        <v>4.74</v>
      </c>
      <c r="H201" s="13">
        <v>69.8</v>
      </c>
      <c r="I201" s="13">
        <v>37.269999999999996</v>
      </c>
    </row>
    <row r="202" spans="1:9">
      <c r="A202" s="10" t="s">
        <v>150</v>
      </c>
      <c r="B202" s="12">
        <v>45778</v>
      </c>
      <c r="C202" s="10" t="s">
        <v>5</v>
      </c>
      <c r="D202" s="10" t="s">
        <v>226</v>
      </c>
      <c r="E202" s="10" t="s">
        <v>12</v>
      </c>
      <c r="F202" s="13">
        <v>14.03</v>
      </c>
      <c r="G202" s="13">
        <v>4.3</v>
      </c>
      <c r="H202" s="13">
        <v>18.329999999999998</v>
      </c>
      <c r="I202" s="13">
        <v>11.315</v>
      </c>
    </row>
    <row r="203" spans="1:9">
      <c r="A203" s="10" t="s">
        <v>151</v>
      </c>
      <c r="B203" s="12">
        <v>46081</v>
      </c>
      <c r="C203" s="10" t="s">
        <v>14</v>
      </c>
      <c r="D203" s="10" t="s">
        <v>224</v>
      </c>
      <c r="E203" s="10" t="s">
        <v>8</v>
      </c>
      <c r="F203" s="13">
        <v>62.43</v>
      </c>
      <c r="G203" s="13">
        <v>3.05</v>
      </c>
      <c r="H203" s="13">
        <v>65.48</v>
      </c>
      <c r="I203" s="13">
        <v>34.265000000000001</v>
      </c>
    </row>
    <row r="204" spans="1:9">
      <c r="A204" s="10" t="s">
        <v>152</v>
      </c>
      <c r="B204" s="12">
        <v>45830</v>
      </c>
      <c r="C204" s="10" t="s">
        <v>19</v>
      </c>
      <c r="D204" s="10" t="s">
        <v>226</v>
      </c>
      <c r="E204" s="10" t="s">
        <v>12</v>
      </c>
      <c r="F204" s="13">
        <v>6.32</v>
      </c>
      <c r="G204" s="13">
        <v>0.9</v>
      </c>
      <c r="H204" s="13">
        <v>7.2200000000000006</v>
      </c>
      <c r="I204" s="13">
        <v>4.0600000000000005</v>
      </c>
    </row>
    <row r="205" spans="1:9">
      <c r="A205" s="10" t="s">
        <v>298</v>
      </c>
      <c r="B205" s="12">
        <v>46113</v>
      </c>
      <c r="C205" s="10" t="s">
        <v>19</v>
      </c>
      <c r="D205" s="10" t="s">
        <v>226</v>
      </c>
      <c r="E205" s="10" t="s">
        <v>12</v>
      </c>
      <c r="F205" s="13">
        <v>19.41</v>
      </c>
      <c r="G205" s="13">
        <v>2.81</v>
      </c>
      <c r="H205" s="13">
        <v>22.22</v>
      </c>
      <c r="I205" s="13">
        <v>12.514999999999999</v>
      </c>
    </row>
    <row r="206" spans="1:9">
      <c r="A206" s="10" t="s">
        <v>299</v>
      </c>
      <c r="B206" s="12">
        <v>45690</v>
      </c>
      <c r="C206" s="10" t="s">
        <v>5</v>
      </c>
      <c r="D206" s="10" t="s">
        <v>226</v>
      </c>
      <c r="E206" s="10" t="s">
        <v>12</v>
      </c>
      <c r="F206" s="13">
        <v>2.3199999999999998</v>
      </c>
      <c r="G206" s="13">
        <v>7.45</v>
      </c>
      <c r="H206" s="13">
        <v>9.77</v>
      </c>
      <c r="I206" s="13">
        <v>8.61</v>
      </c>
    </row>
    <row r="207" spans="1:9">
      <c r="A207" s="10" t="s">
        <v>153</v>
      </c>
      <c r="B207" s="12">
        <v>45709</v>
      </c>
      <c r="C207" s="10" t="s">
        <v>19</v>
      </c>
      <c r="D207" s="10" t="s">
        <v>226</v>
      </c>
      <c r="E207" s="10" t="s">
        <v>15</v>
      </c>
      <c r="F207" s="13">
        <v>17.739999999999998</v>
      </c>
      <c r="G207" s="13">
        <v>1.71</v>
      </c>
      <c r="H207" s="13">
        <v>19.45</v>
      </c>
      <c r="I207" s="13">
        <v>10.58</v>
      </c>
    </row>
    <row r="208" spans="1:9">
      <c r="A208" s="10" t="s">
        <v>154</v>
      </c>
      <c r="B208" s="12">
        <v>45658</v>
      </c>
      <c r="C208" s="10" t="s">
        <v>5</v>
      </c>
      <c r="D208" s="10" t="s">
        <v>224</v>
      </c>
      <c r="E208" s="10" t="s">
        <v>12</v>
      </c>
      <c r="F208" s="13">
        <v>23.68</v>
      </c>
      <c r="G208" s="13">
        <v>5.05</v>
      </c>
      <c r="H208" s="13">
        <v>28.73</v>
      </c>
      <c r="I208" s="13">
        <v>16.89</v>
      </c>
    </row>
    <row r="209" spans="1:9">
      <c r="A209" s="10" t="s">
        <v>155</v>
      </c>
      <c r="B209" s="12">
        <v>45949</v>
      </c>
      <c r="C209" s="10" t="s">
        <v>5</v>
      </c>
      <c r="D209" s="10" t="s">
        <v>6</v>
      </c>
      <c r="E209" s="10" t="s">
        <v>15</v>
      </c>
      <c r="F209" s="13">
        <v>35.46</v>
      </c>
      <c r="G209" s="13">
        <v>1.64</v>
      </c>
      <c r="H209" s="13">
        <v>37.1</v>
      </c>
      <c r="I209" s="13">
        <v>19.37</v>
      </c>
    </row>
    <row r="210" spans="1:9">
      <c r="A210" s="10" t="s">
        <v>156</v>
      </c>
      <c r="B210" s="12">
        <v>46210</v>
      </c>
      <c r="C210" s="10" t="s">
        <v>7</v>
      </c>
      <c r="D210" s="10" t="s">
        <v>224</v>
      </c>
      <c r="E210" s="10" t="s">
        <v>6</v>
      </c>
      <c r="F210" s="13">
        <v>13.45</v>
      </c>
      <c r="G210" s="13">
        <v>3.13</v>
      </c>
      <c r="H210" s="13">
        <v>16.579999999999998</v>
      </c>
      <c r="I210" s="13">
        <v>9.8549999999999986</v>
      </c>
    </row>
    <row r="211" spans="1:9">
      <c r="A211" s="10" t="s">
        <v>157</v>
      </c>
      <c r="B211" s="12">
        <v>45702</v>
      </c>
      <c r="C211" s="10" t="s">
        <v>19</v>
      </c>
      <c r="D211" s="10" t="s">
        <v>224</v>
      </c>
      <c r="E211" s="10" t="s">
        <v>6</v>
      </c>
      <c r="F211" s="13">
        <v>22.84</v>
      </c>
      <c r="G211" s="13">
        <v>12.64</v>
      </c>
      <c r="H211" s="13">
        <v>35.480000000000004</v>
      </c>
      <c r="I211" s="13">
        <v>24.060000000000002</v>
      </c>
    </row>
    <row r="212" spans="1:9">
      <c r="A212" s="10" t="s">
        <v>158</v>
      </c>
      <c r="B212" s="12">
        <v>45785</v>
      </c>
      <c r="C212" s="10" t="s">
        <v>14</v>
      </c>
      <c r="D212" s="10" t="s">
        <v>6</v>
      </c>
      <c r="E212" s="10" t="s">
        <v>12</v>
      </c>
      <c r="F212" s="13">
        <v>24.38</v>
      </c>
      <c r="G212" s="13">
        <v>12.56</v>
      </c>
      <c r="H212" s="13">
        <v>36.94</v>
      </c>
      <c r="I212" s="13">
        <v>24.75</v>
      </c>
    </row>
    <row r="213" spans="1:9">
      <c r="A213" s="10" t="s">
        <v>300</v>
      </c>
      <c r="B213" s="12">
        <v>46084</v>
      </c>
      <c r="C213" s="10" t="s">
        <v>5</v>
      </c>
      <c r="D213" s="10" t="s">
        <v>226</v>
      </c>
      <c r="E213" s="10" t="s">
        <v>8</v>
      </c>
      <c r="F213" s="13">
        <v>63.52</v>
      </c>
      <c r="G213" s="13">
        <v>6.72</v>
      </c>
      <c r="H213" s="13">
        <v>70.240000000000009</v>
      </c>
      <c r="I213" s="13">
        <v>38.480000000000004</v>
      </c>
    </row>
    <row r="214" spans="1:9">
      <c r="A214" s="10" t="s">
        <v>159</v>
      </c>
      <c r="B214" s="12">
        <v>46207</v>
      </c>
      <c r="C214" s="10" t="s">
        <v>19</v>
      </c>
      <c r="D214" s="10" t="s">
        <v>226</v>
      </c>
      <c r="E214" s="10" t="s">
        <v>8</v>
      </c>
      <c r="F214" s="13">
        <v>36.04</v>
      </c>
      <c r="G214" s="13">
        <v>5.29</v>
      </c>
      <c r="H214" s="13">
        <v>41.33</v>
      </c>
      <c r="I214" s="13">
        <v>23.31</v>
      </c>
    </row>
    <row r="215" spans="1:9">
      <c r="A215" s="10" t="s">
        <v>160</v>
      </c>
      <c r="B215" s="12">
        <v>46117</v>
      </c>
      <c r="C215" s="10" t="s">
        <v>9</v>
      </c>
      <c r="D215" s="10" t="s">
        <v>6</v>
      </c>
      <c r="E215" s="10" t="s">
        <v>6</v>
      </c>
      <c r="F215" s="13">
        <v>27.05</v>
      </c>
      <c r="G215" s="13">
        <v>1.01</v>
      </c>
      <c r="H215" s="13">
        <v>28.060000000000002</v>
      </c>
      <c r="I215" s="13">
        <v>14.535000000000002</v>
      </c>
    </row>
    <row r="216" spans="1:9">
      <c r="A216" s="10" t="s">
        <v>301</v>
      </c>
      <c r="B216" s="12">
        <v>45862</v>
      </c>
      <c r="C216" s="10" t="s">
        <v>14</v>
      </c>
      <c r="D216" s="10" t="s">
        <v>6</v>
      </c>
      <c r="E216" s="10" t="s">
        <v>12</v>
      </c>
      <c r="F216" s="13">
        <v>21.11</v>
      </c>
      <c r="G216" s="13">
        <v>7.04</v>
      </c>
      <c r="H216" s="13">
        <v>28.15</v>
      </c>
      <c r="I216" s="13">
        <v>17.594999999999999</v>
      </c>
    </row>
    <row r="217" spans="1:9">
      <c r="A217" s="10" t="s">
        <v>161</v>
      </c>
      <c r="B217" s="12">
        <v>45969</v>
      </c>
      <c r="C217" s="10" t="s">
        <v>21</v>
      </c>
      <c r="D217" s="10" t="s">
        <v>226</v>
      </c>
      <c r="E217" s="10" t="s">
        <v>8</v>
      </c>
      <c r="F217" s="13">
        <v>67.5</v>
      </c>
      <c r="G217" s="13">
        <v>8</v>
      </c>
      <c r="H217" s="13">
        <v>75.5</v>
      </c>
      <c r="I217" s="13">
        <v>41.75</v>
      </c>
    </row>
    <row r="218" spans="1:9">
      <c r="A218" s="10" t="s">
        <v>162</v>
      </c>
      <c r="B218" s="12">
        <v>45748</v>
      </c>
      <c r="C218" s="10" t="s">
        <v>7</v>
      </c>
      <c r="D218" s="10" t="s">
        <v>226</v>
      </c>
      <c r="E218" s="10" t="s">
        <v>6</v>
      </c>
      <c r="F218" s="13">
        <v>15.92</v>
      </c>
      <c r="G218" s="13">
        <v>5.24</v>
      </c>
      <c r="H218" s="13">
        <v>21.16</v>
      </c>
      <c r="I218" s="13">
        <v>13.2</v>
      </c>
    </row>
    <row r="219" spans="1:9">
      <c r="A219" s="10" t="s">
        <v>163</v>
      </c>
      <c r="B219" s="12">
        <v>45985</v>
      </c>
      <c r="C219" s="10" t="s">
        <v>19</v>
      </c>
      <c r="D219" s="10" t="s">
        <v>224</v>
      </c>
      <c r="E219" s="10" t="s">
        <v>302</v>
      </c>
      <c r="F219" s="13">
        <v>8.94</v>
      </c>
      <c r="G219" s="13">
        <v>10.85</v>
      </c>
      <c r="H219" s="13">
        <v>19.79</v>
      </c>
      <c r="I219" s="13">
        <v>15.32</v>
      </c>
    </row>
    <row r="220" spans="1:9">
      <c r="A220" s="10" t="s">
        <v>164</v>
      </c>
      <c r="B220" s="12">
        <v>45756</v>
      </c>
      <c r="C220" s="10" t="s">
        <v>9</v>
      </c>
      <c r="D220" s="10" t="s">
        <v>6</v>
      </c>
      <c r="E220" s="10" t="s">
        <v>12</v>
      </c>
      <c r="F220" s="13">
        <v>23.37</v>
      </c>
      <c r="G220" s="13">
        <v>5.9</v>
      </c>
      <c r="H220" s="13">
        <v>29.270000000000003</v>
      </c>
      <c r="I220" s="13">
        <v>17.585000000000001</v>
      </c>
    </row>
    <row r="221" spans="1:9">
      <c r="A221" s="10" t="s">
        <v>165</v>
      </c>
      <c r="B221" s="12">
        <v>46021</v>
      </c>
      <c r="C221" s="10" t="s">
        <v>14</v>
      </c>
      <c r="D221" s="10" t="s">
        <v>224</v>
      </c>
      <c r="E221" s="10" t="s">
        <v>8</v>
      </c>
      <c r="F221" s="13">
        <v>7.2</v>
      </c>
      <c r="G221" s="13">
        <v>8.2200000000000006</v>
      </c>
      <c r="H221" s="13">
        <v>15.420000000000002</v>
      </c>
      <c r="I221" s="13">
        <v>11.82</v>
      </c>
    </row>
    <row r="222" spans="1:9">
      <c r="A222" s="10" t="s">
        <v>166</v>
      </c>
      <c r="B222" s="12">
        <v>45786</v>
      </c>
      <c r="C222" s="10" t="s">
        <v>19</v>
      </c>
      <c r="D222" s="10" t="s">
        <v>226</v>
      </c>
      <c r="E222" s="10" t="s">
        <v>6</v>
      </c>
      <c r="F222" s="13">
        <v>39.01</v>
      </c>
      <c r="G222" s="13">
        <v>0.85</v>
      </c>
      <c r="H222" s="13">
        <v>39.86</v>
      </c>
      <c r="I222" s="13">
        <v>20.355</v>
      </c>
    </row>
    <row r="223" spans="1:9">
      <c r="A223" s="10" t="s">
        <v>303</v>
      </c>
      <c r="B223" s="12">
        <v>45870</v>
      </c>
      <c r="C223" s="10" t="s">
        <v>21</v>
      </c>
      <c r="D223" s="10" t="s">
        <v>226</v>
      </c>
      <c r="E223" s="10" t="s">
        <v>6</v>
      </c>
      <c r="F223" s="13">
        <v>7.92</v>
      </c>
      <c r="G223" s="13">
        <v>14.24</v>
      </c>
      <c r="H223" s="13">
        <v>22.16</v>
      </c>
      <c r="I223" s="13">
        <v>18.2</v>
      </c>
    </row>
    <row r="224" spans="1:9">
      <c r="A224" s="10" t="s">
        <v>167</v>
      </c>
      <c r="B224" s="12">
        <v>46048</v>
      </c>
      <c r="C224" s="10" t="s">
        <v>19</v>
      </c>
      <c r="D224" s="10" t="s">
        <v>226</v>
      </c>
      <c r="E224" s="10" t="s">
        <v>12</v>
      </c>
      <c r="F224" s="13">
        <v>22.25</v>
      </c>
      <c r="G224" s="13">
        <v>7.28</v>
      </c>
      <c r="H224" s="13">
        <v>29.53</v>
      </c>
      <c r="I224" s="13">
        <v>18.405000000000001</v>
      </c>
    </row>
    <row r="225" spans="1:9">
      <c r="A225" s="10" t="s">
        <v>168</v>
      </c>
      <c r="B225" s="12">
        <v>45928</v>
      </c>
      <c r="C225" s="10" t="s">
        <v>14</v>
      </c>
      <c r="D225" s="10" t="s">
        <v>224</v>
      </c>
      <c r="E225" s="10" t="s">
        <v>8</v>
      </c>
      <c r="F225" s="13">
        <v>88.28</v>
      </c>
      <c r="G225" s="13">
        <v>4.5599999999999996</v>
      </c>
      <c r="H225" s="13">
        <v>92.84</v>
      </c>
      <c r="I225" s="13">
        <v>48.7</v>
      </c>
    </row>
    <row r="226" spans="1:9">
      <c r="A226" s="10" t="s">
        <v>169</v>
      </c>
      <c r="B226" s="12">
        <v>45773</v>
      </c>
      <c r="C226" s="10" t="s">
        <v>7</v>
      </c>
      <c r="D226" s="10" t="s">
        <v>224</v>
      </c>
      <c r="E226" s="10" t="s">
        <v>12</v>
      </c>
      <c r="F226" s="13">
        <v>9.35</v>
      </c>
      <c r="G226" s="13">
        <v>0.92</v>
      </c>
      <c r="H226" s="13">
        <v>10.27</v>
      </c>
      <c r="I226" s="13">
        <v>5.5949999999999998</v>
      </c>
    </row>
    <row r="227" spans="1:9">
      <c r="A227" s="10" t="s">
        <v>304</v>
      </c>
      <c r="B227" s="12">
        <v>46138</v>
      </c>
      <c r="C227" s="10" t="s">
        <v>5</v>
      </c>
      <c r="D227" s="10" t="s">
        <v>226</v>
      </c>
      <c r="E227" s="10" t="s">
        <v>15</v>
      </c>
      <c r="F227" s="13">
        <v>10.02</v>
      </c>
      <c r="G227" s="13">
        <v>3.97</v>
      </c>
      <c r="H227" s="13">
        <v>13.99</v>
      </c>
      <c r="I227" s="13">
        <v>8.98</v>
      </c>
    </row>
    <row r="228" spans="1:9">
      <c r="A228" s="10" t="s">
        <v>170</v>
      </c>
      <c r="B228" s="12">
        <v>46147</v>
      </c>
      <c r="C228" s="10" t="s">
        <v>5</v>
      </c>
      <c r="D228" s="10" t="s">
        <v>226</v>
      </c>
      <c r="E228" s="10" t="s">
        <v>8</v>
      </c>
      <c r="F228" s="13">
        <v>3.84</v>
      </c>
      <c r="G228" s="13">
        <v>6.35</v>
      </c>
      <c r="H228" s="13">
        <v>10.19</v>
      </c>
      <c r="I228" s="13">
        <v>8.27</v>
      </c>
    </row>
    <row r="229" spans="1:9">
      <c r="A229" s="10" t="s">
        <v>171</v>
      </c>
      <c r="B229" s="12">
        <v>45794</v>
      </c>
      <c r="C229" s="10" t="s">
        <v>7</v>
      </c>
      <c r="D229" s="10" t="s">
        <v>226</v>
      </c>
      <c r="E229" s="10" t="s">
        <v>8</v>
      </c>
      <c r="F229" s="13">
        <v>23.89</v>
      </c>
      <c r="G229" s="13">
        <v>3.55</v>
      </c>
      <c r="H229" s="13">
        <v>27.44</v>
      </c>
      <c r="I229" s="13">
        <v>15.495000000000001</v>
      </c>
    </row>
    <row r="230" spans="1:9">
      <c r="A230" s="10" t="s">
        <v>172</v>
      </c>
      <c r="B230" s="12">
        <v>45840</v>
      </c>
      <c r="C230" s="10" t="s">
        <v>5</v>
      </c>
      <c r="D230" s="10" t="s">
        <v>224</v>
      </c>
      <c r="E230" s="10" t="s">
        <v>12</v>
      </c>
      <c r="F230" s="13">
        <v>8.2899999999999991</v>
      </c>
      <c r="G230" s="13">
        <v>0.61</v>
      </c>
      <c r="H230" s="13">
        <v>8.8999999999999986</v>
      </c>
      <c r="I230" s="13">
        <v>4.754999999999999</v>
      </c>
    </row>
    <row r="231" spans="1:9">
      <c r="A231" s="10" t="s">
        <v>305</v>
      </c>
      <c r="B231" s="12">
        <v>46066</v>
      </c>
      <c r="C231" s="10" t="s">
        <v>9</v>
      </c>
      <c r="D231" s="10" t="s">
        <v>224</v>
      </c>
      <c r="E231" s="10" t="s">
        <v>15</v>
      </c>
      <c r="F231" s="13">
        <v>15.36</v>
      </c>
      <c r="G231" s="13">
        <v>5.53</v>
      </c>
      <c r="H231" s="13">
        <v>20.89</v>
      </c>
      <c r="I231" s="13">
        <v>13.21</v>
      </c>
    </row>
    <row r="232" spans="1:9">
      <c r="A232" s="10" t="s">
        <v>173</v>
      </c>
      <c r="B232" s="12">
        <v>45698</v>
      </c>
      <c r="C232" s="10" t="s">
        <v>19</v>
      </c>
      <c r="D232" s="10" t="s">
        <v>224</v>
      </c>
      <c r="E232" s="10" t="s">
        <v>6</v>
      </c>
      <c r="F232" s="13">
        <v>-7</v>
      </c>
      <c r="G232" s="13">
        <v>5.29</v>
      </c>
      <c r="H232" s="13">
        <v>-1.71</v>
      </c>
      <c r="I232" s="13">
        <v>1.79</v>
      </c>
    </row>
    <row r="233" spans="1:9">
      <c r="A233" s="10" t="s">
        <v>306</v>
      </c>
      <c r="B233" s="12">
        <v>45908</v>
      </c>
      <c r="C233" s="10" t="s">
        <v>5</v>
      </c>
      <c r="D233" s="10" t="s">
        <v>226</v>
      </c>
      <c r="E233" s="10" t="s">
        <v>12</v>
      </c>
      <c r="F233" s="13">
        <v>23.01</v>
      </c>
      <c r="G233" s="13">
        <v>7.46</v>
      </c>
      <c r="H233" s="13">
        <v>30.470000000000002</v>
      </c>
      <c r="I233" s="13">
        <v>18.965</v>
      </c>
    </row>
    <row r="234" spans="1:9">
      <c r="A234" s="10" t="s">
        <v>174</v>
      </c>
      <c r="B234" s="12">
        <v>45944</v>
      </c>
      <c r="C234" s="10" t="s">
        <v>5</v>
      </c>
      <c r="D234" s="10" t="s">
        <v>226</v>
      </c>
      <c r="E234" s="10" t="s">
        <v>15</v>
      </c>
      <c r="F234" s="13">
        <v>25.5</v>
      </c>
      <c r="G234" s="13">
        <v>4.5999999999999996</v>
      </c>
      <c r="H234" s="13">
        <v>30.1</v>
      </c>
      <c r="I234" s="13">
        <v>17.350000000000001</v>
      </c>
    </row>
    <row r="235" spans="1:9">
      <c r="A235" s="10" t="s">
        <v>175</v>
      </c>
      <c r="B235" s="12">
        <v>45917</v>
      </c>
      <c r="C235" s="10" t="s">
        <v>5</v>
      </c>
      <c r="D235" s="10" t="s">
        <v>226</v>
      </c>
      <c r="E235" s="10" t="s">
        <v>12</v>
      </c>
      <c r="F235" s="13">
        <v>25.47</v>
      </c>
      <c r="G235" s="13">
        <v>11.17</v>
      </c>
      <c r="H235" s="13">
        <v>36.64</v>
      </c>
      <c r="I235" s="13">
        <v>23.905000000000001</v>
      </c>
    </row>
    <row r="236" spans="1:9">
      <c r="A236" s="10" t="s">
        <v>307</v>
      </c>
      <c r="B236" s="12">
        <v>46054</v>
      </c>
      <c r="C236" s="10" t="s">
        <v>5</v>
      </c>
      <c r="D236" s="10" t="s">
        <v>224</v>
      </c>
      <c r="E236" s="10" t="s">
        <v>8</v>
      </c>
      <c r="F236" s="13">
        <v>26.32</v>
      </c>
      <c r="G236" s="13">
        <v>4.3099999999999996</v>
      </c>
      <c r="H236" s="13">
        <v>30.63</v>
      </c>
      <c r="I236" s="13">
        <v>17.47</v>
      </c>
    </row>
    <row r="237" spans="1:9">
      <c r="A237" s="10" t="s">
        <v>176</v>
      </c>
      <c r="B237" s="12">
        <v>45798</v>
      </c>
      <c r="C237" s="10" t="s">
        <v>9</v>
      </c>
      <c r="D237" s="10" t="s">
        <v>226</v>
      </c>
      <c r="E237" s="10" t="s">
        <v>12</v>
      </c>
      <c r="F237" s="13">
        <v>9.1300000000000008</v>
      </c>
      <c r="G237" s="13">
        <v>3.72</v>
      </c>
      <c r="H237" s="13">
        <v>12.850000000000001</v>
      </c>
      <c r="I237" s="13">
        <v>8.2850000000000001</v>
      </c>
    </row>
    <row r="238" spans="1:9">
      <c r="A238" s="10" t="s">
        <v>177</v>
      </c>
      <c r="B238" s="12">
        <v>46136</v>
      </c>
      <c r="C238" s="10" t="s">
        <v>7</v>
      </c>
      <c r="D238" s="10" t="s">
        <v>226</v>
      </c>
      <c r="E238" s="10" t="s">
        <v>15</v>
      </c>
      <c r="F238" s="13">
        <v>14.88</v>
      </c>
      <c r="G238" s="13">
        <v>2.94</v>
      </c>
      <c r="H238" s="13">
        <v>17.82</v>
      </c>
      <c r="I238" s="13">
        <v>10.38</v>
      </c>
    </row>
    <row r="239" spans="1:9">
      <c r="A239" s="10" t="s">
        <v>178</v>
      </c>
      <c r="B239" s="12">
        <v>45930</v>
      </c>
      <c r="C239" s="10" t="s">
        <v>19</v>
      </c>
      <c r="D239" s="10" t="s">
        <v>226</v>
      </c>
      <c r="E239" s="10" t="s">
        <v>8</v>
      </c>
      <c r="F239" s="13">
        <v>44.9</v>
      </c>
      <c r="G239" s="13">
        <v>3.69</v>
      </c>
      <c r="H239" s="13">
        <v>48.589999999999996</v>
      </c>
      <c r="I239" s="13">
        <v>26.139999999999997</v>
      </c>
    </row>
    <row r="240" spans="1:9">
      <c r="A240" s="10" t="s">
        <v>308</v>
      </c>
      <c r="B240" s="12">
        <v>45950</v>
      </c>
      <c r="C240" s="10" t="s">
        <v>21</v>
      </c>
      <c r="D240" s="10" t="s">
        <v>226</v>
      </c>
      <c r="E240" s="10" t="s">
        <v>8</v>
      </c>
      <c r="F240" s="13">
        <v>13.87</v>
      </c>
      <c r="G240" s="13">
        <v>1.8</v>
      </c>
      <c r="H240" s="13">
        <v>15.67</v>
      </c>
      <c r="I240" s="13">
        <v>8.7349999999999994</v>
      </c>
    </row>
    <row r="241" spans="1:9">
      <c r="A241" s="10" t="s">
        <v>179</v>
      </c>
      <c r="B241" s="12">
        <v>46013</v>
      </c>
      <c r="C241" s="10" t="s">
        <v>7</v>
      </c>
      <c r="D241" s="10" t="s">
        <v>224</v>
      </c>
      <c r="E241" s="10" t="s">
        <v>15</v>
      </c>
      <c r="F241" s="13">
        <v>36.42</v>
      </c>
      <c r="G241" s="13">
        <v>3.75</v>
      </c>
      <c r="H241" s="13">
        <v>40.17</v>
      </c>
      <c r="I241" s="13">
        <v>21.96</v>
      </c>
    </row>
    <row r="242" spans="1:9">
      <c r="A242" s="10" t="s">
        <v>180</v>
      </c>
      <c r="B242" s="12">
        <v>46072</v>
      </c>
      <c r="C242" s="10" t="s">
        <v>9</v>
      </c>
      <c r="D242" s="10" t="s">
        <v>6</v>
      </c>
      <c r="E242" s="10" t="s">
        <v>8</v>
      </c>
      <c r="F242" s="13">
        <v>22.5</v>
      </c>
      <c r="G242" s="13">
        <v>7.09</v>
      </c>
      <c r="H242" s="13">
        <v>29.59</v>
      </c>
      <c r="I242" s="13">
        <v>18.34</v>
      </c>
    </row>
    <row r="243" spans="1:9">
      <c r="A243" s="10" t="s">
        <v>309</v>
      </c>
      <c r="B243" s="12">
        <v>45991</v>
      </c>
      <c r="C243" s="10" t="s">
        <v>5</v>
      </c>
      <c r="D243" s="10" t="s">
        <v>226</v>
      </c>
      <c r="E243" s="10" t="s">
        <v>15</v>
      </c>
      <c r="F243" s="13">
        <v>50.58</v>
      </c>
      <c r="G243" s="13">
        <v>0.82</v>
      </c>
      <c r="H243" s="13">
        <v>51.4</v>
      </c>
      <c r="I243" s="13">
        <v>26.11</v>
      </c>
    </row>
    <row r="244" spans="1:9">
      <c r="A244" s="10" t="s">
        <v>310</v>
      </c>
      <c r="B244" s="12">
        <v>45747</v>
      </c>
      <c r="C244" s="10" t="s">
        <v>182</v>
      </c>
      <c r="D244" s="10" t="s">
        <v>226</v>
      </c>
      <c r="E244" s="10" t="s">
        <v>8</v>
      </c>
      <c r="F244" s="13">
        <v>5.48</v>
      </c>
      <c r="G244" s="13">
        <v>3.58</v>
      </c>
      <c r="H244" s="13">
        <v>9.06</v>
      </c>
      <c r="I244" s="13">
        <v>6.32</v>
      </c>
    </row>
    <row r="245" spans="1:9">
      <c r="A245" s="10" t="s">
        <v>181</v>
      </c>
      <c r="B245" s="12">
        <v>45758</v>
      </c>
      <c r="C245" s="10" t="s">
        <v>21</v>
      </c>
      <c r="D245" s="10" t="s">
        <v>226</v>
      </c>
      <c r="E245" s="10" t="s">
        <v>12</v>
      </c>
      <c r="F245" s="13">
        <v>42.55</v>
      </c>
      <c r="G245" s="13">
        <v>3.67</v>
      </c>
      <c r="H245" s="13">
        <v>46.22</v>
      </c>
      <c r="I245" s="13">
        <v>24.945</v>
      </c>
    </row>
    <row r="246" spans="1:9">
      <c r="A246" s="10" t="s">
        <v>81</v>
      </c>
      <c r="B246" s="12">
        <v>46009</v>
      </c>
      <c r="C246" s="10" t="s">
        <v>5</v>
      </c>
      <c r="D246" s="10" t="s">
        <v>224</v>
      </c>
      <c r="E246" s="10" t="s">
        <v>8</v>
      </c>
      <c r="F246" s="13">
        <v>17.16</v>
      </c>
      <c r="G246" s="13">
        <v>2.1800000000000002</v>
      </c>
      <c r="H246" s="13">
        <v>19.34</v>
      </c>
      <c r="I246" s="13">
        <v>10.76</v>
      </c>
    </row>
    <row r="247" spans="1:9">
      <c r="A247" s="10" t="s">
        <v>183</v>
      </c>
      <c r="B247" s="12">
        <v>45680</v>
      </c>
      <c r="C247" s="10" t="s">
        <v>14</v>
      </c>
      <c r="D247" s="10" t="s">
        <v>6</v>
      </c>
      <c r="E247" s="10" t="s">
        <v>12</v>
      </c>
      <c r="F247" s="13">
        <v>21.12</v>
      </c>
      <c r="G247" s="13">
        <v>8.4700000000000006</v>
      </c>
      <c r="H247" s="13">
        <v>29.590000000000003</v>
      </c>
      <c r="I247" s="13">
        <v>19.03</v>
      </c>
    </row>
    <row r="248" spans="1:9">
      <c r="A248" s="10" t="s">
        <v>184</v>
      </c>
      <c r="B248" s="12">
        <v>45986</v>
      </c>
      <c r="C248" s="10" t="s">
        <v>5</v>
      </c>
      <c r="D248" s="10" t="s">
        <v>224</v>
      </c>
      <c r="E248" s="10" t="s">
        <v>15</v>
      </c>
      <c r="F248" s="13">
        <v>10.84</v>
      </c>
      <c r="G248" s="13">
        <v>11</v>
      </c>
      <c r="H248" s="13">
        <v>21.84</v>
      </c>
      <c r="I248" s="13">
        <v>16.420000000000002</v>
      </c>
    </row>
    <row r="249" spans="1:9">
      <c r="A249" s="10" t="s">
        <v>185</v>
      </c>
      <c r="B249" s="12">
        <v>45732</v>
      </c>
      <c r="C249" s="10" t="s">
        <v>7</v>
      </c>
      <c r="D249" s="10" t="s">
        <v>6</v>
      </c>
      <c r="E249" s="10" t="s">
        <v>8</v>
      </c>
      <c r="F249" s="13">
        <v>15.56</v>
      </c>
      <c r="G249" s="13">
        <v>3.93</v>
      </c>
      <c r="H249" s="13">
        <v>19.490000000000002</v>
      </c>
      <c r="I249" s="13">
        <v>11.71</v>
      </c>
    </row>
    <row r="250" spans="1:9">
      <c r="A250" s="10" t="s">
        <v>311</v>
      </c>
      <c r="B250" s="12">
        <v>45749</v>
      </c>
      <c r="C250" s="10" t="s">
        <v>5</v>
      </c>
      <c r="D250" s="10" t="s">
        <v>226</v>
      </c>
      <c r="E250" s="10" t="s">
        <v>8</v>
      </c>
      <c r="F250" s="13">
        <v>11.62</v>
      </c>
      <c r="G250" s="13">
        <v>5.21</v>
      </c>
      <c r="H250" s="13">
        <v>16.829999999999998</v>
      </c>
      <c r="I250" s="13">
        <v>11.02</v>
      </c>
    </row>
    <row r="251" spans="1:9">
      <c r="A251" s="10" t="s">
        <v>312</v>
      </c>
      <c r="B251" s="12">
        <v>45908</v>
      </c>
      <c r="C251" s="10" t="s">
        <v>5</v>
      </c>
      <c r="D251" s="10" t="s">
        <v>226</v>
      </c>
      <c r="E251" s="10" t="s">
        <v>8</v>
      </c>
      <c r="F251" s="13">
        <v>12.12</v>
      </c>
      <c r="G251" s="13">
        <v>3.18</v>
      </c>
      <c r="H251" s="13">
        <v>15.299999999999999</v>
      </c>
      <c r="I251" s="13">
        <v>9.24</v>
      </c>
    </row>
    <row r="252" spans="1:9">
      <c r="A252" s="10" t="s">
        <v>131</v>
      </c>
      <c r="B252" s="12">
        <v>45843</v>
      </c>
      <c r="C252" s="10" t="s">
        <v>5</v>
      </c>
      <c r="D252" s="10" t="s">
        <v>226</v>
      </c>
      <c r="E252" s="10" t="s">
        <v>8</v>
      </c>
      <c r="F252" s="13">
        <v>14.81</v>
      </c>
      <c r="G252" s="13">
        <v>10.32</v>
      </c>
      <c r="H252" s="13">
        <v>25.130000000000003</v>
      </c>
      <c r="I252" s="13">
        <v>17.725000000000001</v>
      </c>
    </row>
    <row r="253" spans="1:9">
      <c r="A253" s="10" t="s">
        <v>186</v>
      </c>
      <c r="B253" s="12">
        <v>45735</v>
      </c>
      <c r="C253" s="10" t="s">
        <v>189</v>
      </c>
      <c r="D253" s="10" t="s">
        <v>6</v>
      </c>
      <c r="E253" s="10" t="s">
        <v>15</v>
      </c>
      <c r="F253" s="13">
        <v>49.1</v>
      </c>
      <c r="G253" s="13">
        <v>12.67</v>
      </c>
      <c r="H253" s="13">
        <v>61.77</v>
      </c>
      <c r="I253" s="13">
        <v>37.22</v>
      </c>
    </row>
    <row r="254" spans="1:9">
      <c r="A254" s="10" t="s">
        <v>187</v>
      </c>
      <c r="B254" s="12">
        <v>46049</v>
      </c>
      <c r="C254" s="10" t="s">
        <v>7</v>
      </c>
      <c r="D254" s="10" t="s">
        <v>226</v>
      </c>
      <c r="E254" s="10" t="s">
        <v>15</v>
      </c>
      <c r="F254" s="13">
        <v>54.97</v>
      </c>
      <c r="G254" s="13">
        <v>2.74</v>
      </c>
      <c r="H254" s="13">
        <v>57.71</v>
      </c>
      <c r="I254" s="13">
        <v>30.225000000000001</v>
      </c>
    </row>
    <row r="255" spans="1:9">
      <c r="A255" s="10" t="s">
        <v>188</v>
      </c>
      <c r="B255" s="12">
        <v>46170</v>
      </c>
      <c r="C255" s="10" t="s">
        <v>5</v>
      </c>
      <c r="D255" s="10" t="s">
        <v>226</v>
      </c>
      <c r="E255" s="10" t="s">
        <v>8</v>
      </c>
      <c r="F255" s="13">
        <v>4.22</v>
      </c>
      <c r="G255" s="13">
        <v>3.17</v>
      </c>
      <c r="H255" s="13">
        <v>7.39</v>
      </c>
      <c r="I255" s="13">
        <v>5.2799999999999994</v>
      </c>
    </row>
    <row r="256" spans="1:9">
      <c r="A256" s="10" t="s">
        <v>313</v>
      </c>
      <c r="B256" s="12">
        <v>46096</v>
      </c>
      <c r="C256" s="10" t="s">
        <v>14</v>
      </c>
      <c r="D256" s="10" t="s">
        <v>224</v>
      </c>
      <c r="E256" s="10" t="s">
        <v>8</v>
      </c>
      <c r="F256" s="13">
        <v>21.55</v>
      </c>
      <c r="G256" s="13">
        <v>4.51</v>
      </c>
      <c r="H256" s="13">
        <v>26.060000000000002</v>
      </c>
      <c r="I256" s="13">
        <v>15.285</v>
      </c>
    </row>
    <row r="257" spans="1:9">
      <c r="A257" s="10" t="s">
        <v>314</v>
      </c>
      <c r="B257" s="12">
        <v>45901</v>
      </c>
      <c r="C257" s="10" t="s">
        <v>19</v>
      </c>
      <c r="D257" s="10" t="s">
        <v>226</v>
      </c>
      <c r="E257" s="10" t="s">
        <v>6</v>
      </c>
      <c r="F257" s="13">
        <v>68.010000000000005</v>
      </c>
      <c r="G257" s="13">
        <v>8.84</v>
      </c>
      <c r="H257" s="13">
        <v>76.850000000000009</v>
      </c>
      <c r="I257" s="13">
        <v>42.845000000000006</v>
      </c>
    </row>
    <row r="258" spans="1:9">
      <c r="A258" s="10" t="s">
        <v>315</v>
      </c>
      <c r="B258" s="12">
        <v>46196</v>
      </c>
      <c r="C258" s="10" t="s">
        <v>5</v>
      </c>
      <c r="D258" s="10" t="s">
        <v>6</v>
      </c>
      <c r="E258" s="10" t="s">
        <v>15</v>
      </c>
      <c r="F258" s="13">
        <v>63.67</v>
      </c>
      <c r="G258" s="13">
        <v>2.74</v>
      </c>
      <c r="H258" s="13">
        <v>66.41</v>
      </c>
      <c r="I258" s="13">
        <v>34.574999999999996</v>
      </c>
    </row>
    <row r="259" spans="1:9">
      <c r="A259" s="10" t="s">
        <v>316</v>
      </c>
      <c r="B259" s="12">
        <v>45874</v>
      </c>
      <c r="C259" s="10" t="s">
        <v>5</v>
      </c>
      <c r="D259" s="10" t="s">
        <v>6</v>
      </c>
      <c r="E259" s="10" t="s">
        <v>12</v>
      </c>
      <c r="F259" s="13">
        <v>18.34</v>
      </c>
      <c r="G259" s="13">
        <v>4.75</v>
      </c>
      <c r="H259" s="13">
        <v>23.09</v>
      </c>
      <c r="I259" s="13">
        <v>13.92</v>
      </c>
    </row>
    <row r="260" spans="1:9">
      <c r="A260" s="10" t="s">
        <v>190</v>
      </c>
      <c r="B260" s="12">
        <v>45736</v>
      </c>
      <c r="C260" s="10" t="s">
        <v>5</v>
      </c>
      <c r="D260" s="10" t="s">
        <v>224</v>
      </c>
      <c r="E260" s="10" t="s">
        <v>8</v>
      </c>
      <c r="F260" s="13">
        <v>6.37</v>
      </c>
      <c r="G260" s="13">
        <v>2.95</v>
      </c>
      <c r="H260" s="13">
        <v>9.32</v>
      </c>
      <c r="I260" s="13">
        <v>6.1349999999999998</v>
      </c>
    </row>
    <row r="261" spans="1:9">
      <c r="A261" s="10" t="s">
        <v>191</v>
      </c>
      <c r="B261" s="12">
        <v>46220</v>
      </c>
      <c r="C261" s="10" t="s">
        <v>7</v>
      </c>
      <c r="D261" s="10" t="s">
        <v>226</v>
      </c>
      <c r="E261" s="10" t="s">
        <v>8</v>
      </c>
      <c r="F261" s="13">
        <v>12.88</v>
      </c>
      <c r="G261" s="13">
        <v>1.1499999999999999</v>
      </c>
      <c r="H261" s="13">
        <v>14.030000000000001</v>
      </c>
      <c r="I261" s="13">
        <v>7.5900000000000007</v>
      </c>
    </row>
    <row r="262" spans="1:9">
      <c r="A262" s="10" t="s">
        <v>192</v>
      </c>
      <c r="B262" s="12">
        <v>46168</v>
      </c>
      <c r="C262" s="10" t="s">
        <v>5</v>
      </c>
      <c r="D262" s="10" t="s">
        <v>6</v>
      </c>
      <c r="E262" s="10" t="s">
        <v>15</v>
      </c>
      <c r="F262" s="13">
        <v>2.94</v>
      </c>
      <c r="G262" s="13">
        <v>5.03</v>
      </c>
      <c r="H262" s="13">
        <v>7.9700000000000006</v>
      </c>
      <c r="I262" s="13">
        <v>6.5</v>
      </c>
    </row>
    <row r="263" spans="1:9">
      <c r="A263" s="10" t="s">
        <v>317</v>
      </c>
      <c r="B263" s="12">
        <v>45855</v>
      </c>
      <c r="C263" s="10" t="s">
        <v>7</v>
      </c>
      <c r="D263" s="10" t="s">
        <v>226</v>
      </c>
      <c r="E263" s="10" t="s">
        <v>8</v>
      </c>
      <c r="F263" s="13">
        <v>51.95</v>
      </c>
      <c r="G263" s="13">
        <v>5.16</v>
      </c>
      <c r="H263" s="13">
        <v>57.11</v>
      </c>
      <c r="I263" s="13">
        <v>31.134999999999998</v>
      </c>
    </row>
    <row r="264" spans="1:9">
      <c r="A264" s="10" t="s">
        <v>193</v>
      </c>
      <c r="B264" s="12">
        <v>45880</v>
      </c>
      <c r="C264" s="10" t="s">
        <v>5</v>
      </c>
      <c r="D264" s="10" t="s">
        <v>224</v>
      </c>
      <c r="E264" s="10" t="s">
        <v>8</v>
      </c>
      <c r="F264" s="13">
        <v>20.89</v>
      </c>
      <c r="G264" s="13">
        <v>2.4300000000000002</v>
      </c>
      <c r="H264" s="13">
        <v>23.32</v>
      </c>
      <c r="I264" s="13">
        <v>12.875</v>
      </c>
    </row>
    <row r="265" spans="1:9">
      <c r="A265" s="10" t="s">
        <v>194</v>
      </c>
      <c r="B265" s="12">
        <v>45853</v>
      </c>
      <c r="C265" s="10" t="s">
        <v>5</v>
      </c>
      <c r="D265" s="10" t="s">
        <v>226</v>
      </c>
      <c r="E265" s="10" t="s">
        <v>15</v>
      </c>
      <c r="F265" s="13">
        <v>18.14</v>
      </c>
      <c r="G265" s="13">
        <v>4.76</v>
      </c>
      <c r="H265" s="13">
        <v>22.9</v>
      </c>
      <c r="I265" s="13">
        <v>13.829999999999998</v>
      </c>
    </row>
    <row r="266" spans="1:9">
      <c r="A266" s="10" t="s">
        <v>195</v>
      </c>
      <c r="B266" s="12">
        <v>46033</v>
      </c>
      <c r="C266" s="10" t="s">
        <v>19</v>
      </c>
      <c r="D266" s="10" t="s">
        <v>226</v>
      </c>
      <c r="E266" s="10" t="s">
        <v>15</v>
      </c>
      <c r="F266" s="13">
        <v>20.18</v>
      </c>
      <c r="G266" s="13">
        <v>10.14</v>
      </c>
      <c r="H266" s="13">
        <v>30.32</v>
      </c>
      <c r="I266" s="13">
        <v>20.23</v>
      </c>
    </row>
    <row r="267" spans="1:9">
      <c r="A267" s="10" t="s">
        <v>318</v>
      </c>
      <c r="B267" s="12">
        <v>45897</v>
      </c>
      <c r="C267" s="10" t="s">
        <v>9</v>
      </c>
      <c r="D267" s="10" t="s">
        <v>6</v>
      </c>
      <c r="E267" s="10" t="s">
        <v>15</v>
      </c>
      <c r="F267" s="13">
        <v>11.69</v>
      </c>
      <c r="G267" s="13">
        <v>1.96</v>
      </c>
      <c r="H267" s="13">
        <v>13.649999999999999</v>
      </c>
      <c r="I267" s="13">
        <v>7.8049999999999997</v>
      </c>
    </row>
    <row r="268" spans="1:9">
      <c r="A268" s="10" t="s">
        <v>196</v>
      </c>
      <c r="B268" s="12">
        <v>45982</v>
      </c>
      <c r="C268" s="10" t="s">
        <v>21</v>
      </c>
      <c r="D268" s="10" t="s">
        <v>224</v>
      </c>
      <c r="E268" s="10" t="s">
        <v>12</v>
      </c>
      <c r="F268" s="13">
        <v>20.93</v>
      </c>
      <c r="G268" s="13">
        <v>3.94</v>
      </c>
      <c r="H268" s="13">
        <v>24.87</v>
      </c>
      <c r="I268" s="13">
        <v>14.405000000000001</v>
      </c>
    </row>
    <row r="269" spans="1:9">
      <c r="A269" s="10" t="s">
        <v>103</v>
      </c>
      <c r="B269" s="12">
        <v>45960</v>
      </c>
      <c r="C269" s="10" t="s">
        <v>5</v>
      </c>
      <c r="D269" s="10" t="s">
        <v>226</v>
      </c>
      <c r="E269" s="10" t="s">
        <v>12</v>
      </c>
      <c r="F269" s="13">
        <v>38.299999999999997</v>
      </c>
      <c r="G269" s="13">
        <v>4.96</v>
      </c>
      <c r="H269" s="13">
        <v>43.26</v>
      </c>
      <c r="I269" s="13">
        <v>24.11</v>
      </c>
    </row>
    <row r="270" spans="1:9">
      <c r="A270" s="10" t="s">
        <v>197</v>
      </c>
      <c r="B270" s="12">
        <v>45824</v>
      </c>
      <c r="C270" s="10" t="s">
        <v>5</v>
      </c>
      <c r="D270" s="10" t="s">
        <v>226</v>
      </c>
      <c r="E270" s="10" t="s">
        <v>12</v>
      </c>
      <c r="F270" s="13">
        <v>48</v>
      </c>
      <c r="G270" s="13">
        <v>1.93</v>
      </c>
      <c r="H270" s="13">
        <v>49.93</v>
      </c>
      <c r="I270" s="13">
        <v>25.93</v>
      </c>
    </row>
    <row r="271" spans="1:9">
      <c r="A271" s="10" t="s">
        <v>319</v>
      </c>
      <c r="B271" s="12">
        <v>46174</v>
      </c>
      <c r="C271" s="10" t="s">
        <v>5</v>
      </c>
      <c r="D271" s="10" t="s">
        <v>6</v>
      </c>
      <c r="E271" s="10" t="s">
        <v>15</v>
      </c>
      <c r="F271" s="13">
        <v>28.12</v>
      </c>
      <c r="G271" s="13" t="s">
        <v>297</v>
      </c>
      <c r="H271" s="13">
        <v>28.12</v>
      </c>
      <c r="I271" s="13">
        <v>28.12</v>
      </c>
    </row>
    <row r="272" spans="1:9">
      <c r="A272" s="10" t="s">
        <v>320</v>
      </c>
      <c r="B272" s="12">
        <v>45911</v>
      </c>
      <c r="C272" s="10" t="s">
        <v>5</v>
      </c>
      <c r="D272" s="10" t="s">
        <v>224</v>
      </c>
      <c r="E272" s="10" t="s">
        <v>12</v>
      </c>
      <c r="F272" s="13">
        <v>45.51</v>
      </c>
      <c r="G272" s="13">
        <v>4.9800000000000004</v>
      </c>
      <c r="H272" s="13">
        <v>50.489999999999995</v>
      </c>
      <c r="I272" s="13">
        <v>27.734999999999999</v>
      </c>
    </row>
    <row r="273" spans="1:9">
      <c r="A273" s="10" t="s">
        <v>198</v>
      </c>
      <c r="B273" s="12">
        <v>45765</v>
      </c>
      <c r="C273" s="10" t="s">
        <v>19</v>
      </c>
      <c r="D273" s="10" t="s">
        <v>224</v>
      </c>
      <c r="E273" s="10" t="s">
        <v>12</v>
      </c>
      <c r="F273" s="13">
        <v>11.63</v>
      </c>
      <c r="G273" s="13">
        <v>3.21</v>
      </c>
      <c r="H273" s="13">
        <v>14.84</v>
      </c>
      <c r="I273" s="13">
        <v>9.0250000000000004</v>
      </c>
    </row>
    <row r="274" spans="1:9">
      <c r="A274" s="10" t="s">
        <v>199</v>
      </c>
      <c r="B274" s="12">
        <v>45748</v>
      </c>
      <c r="C274" s="10" t="s">
        <v>19</v>
      </c>
      <c r="D274" s="10" t="s">
        <v>224</v>
      </c>
      <c r="E274" s="10" t="s">
        <v>8</v>
      </c>
      <c r="F274" s="13">
        <v>8.94</v>
      </c>
      <c r="G274" s="13">
        <v>5.24</v>
      </c>
      <c r="H274" s="13">
        <v>14.18</v>
      </c>
      <c r="I274" s="13">
        <v>9.7100000000000009</v>
      </c>
    </row>
    <row r="275" spans="1:9">
      <c r="A275" s="10" t="s">
        <v>165</v>
      </c>
      <c r="B275" s="12">
        <v>45913</v>
      </c>
      <c r="C275" s="10" t="s">
        <v>5</v>
      </c>
      <c r="D275" s="10" t="s">
        <v>6</v>
      </c>
      <c r="E275" s="10" t="s">
        <v>6</v>
      </c>
      <c r="F275" s="13">
        <v>62.86</v>
      </c>
      <c r="G275" s="13">
        <v>3.63</v>
      </c>
      <c r="H275" s="13">
        <v>66.489999999999995</v>
      </c>
      <c r="I275" s="13">
        <v>35.059999999999995</v>
      </c>
    </row>
    <row r="276" spans="1:9">
      <c r="A276" s="10" t="s">
        <v>200</v>
      </c>
      <c r="B276" s="12">
        <v>45766</v>
      </c>
      <c r="C276" s="10" t="s">
        <v>14</v>
      </c>
      <c r="D276" s="10" t="s">
        <v>224</v>
      </c>
      <c r="E276" s="10" t="s">
        <v>15</v>
      </c>
      <c r="F276" s="13">
        <v>37.78</v>
      </c>
      <c r="G276" s="13">
        <v>9.98</v>
      </c>
      <c r="H276" s="13">
        <v>47.760000000000005</v>
      </c>
      <c r="I276" s="13">
        <v>28.870000000000005</v>
      </c>
    </row>
    <row r="277" spans="1:9">
      <c r="A277" s="10" t="s">
        <v>321</v>
      </c>
      <c r="B277" s="12">
        <v>45982</v>
      </c>
      <c r="C277" s="10" t="s">
        <v>9</v>
      </c>
      <c r="D277" s="10" t="s">
        <v>6</v>
      </c>
      <c r="E277" s="10" t="s">
        <v>8</v>
      </c>
      <c r="F277" s="13">
        <v>28.19</v>
      </c>
      <c r="G277" s="13">
        <v>1.61</v>
      </c>
      <c r="H277" s="13">
        <v>29.8</v>
      </c>
      <c r="I277" s="13">
        <v>15.705</v>
      </c>
    </row>
    <row r="278" spans="1:9">
      <c r="A278" s="10" t="s">
        <v>322</v>
      </c>
      <c r="B278" s="12">
        <v>46124</v>
      </c>
      <c r="C278" s="10" t="s">
        <v>19</v>
      </c>
      <c r="D278" s="10" t="s">
        <v>226</v>
      </c>
      <c r="E278" s="10" t="s">
        <v>12</v>
      </c>
      <c r="F278" s="13">
        <v>38.299999999999997</v>
      </c>
      <c r="G278" s="13">
        <v>4.96</v>
      </c>
      <c r="H278" s="13">
        <v>43.26</v>
      </c>
      <c r="I278" s="13">
        <v>24.11</v>
      </c>
    </row>
    <row r="279" spans="1:9">
      <c r="A279" s="10" t="s">
        <v>197</v>
      </c>
      <c r="B279" s="12">
        <v>45768</v>
      </c>
      <c r="C279" s="10" t="s">
        <v>7</v>
      </c>
      <c r="D279" s="10" t="s">
        <v>226</v>
      </c>
      <c r="E279" s="10" t="s">
        <v>15</v>
      </c>
      <c r="F279" s="13">
        <v>63.67</v>
      </c>
      <c r="G279" s="13">
        <v>11.58</v>
      </c>
      <c r="H279" s="13">
        <v>75.25</v>
      </c>
      <c r="I279" s="13">
        <v>43.414999999999999</v>
      </c>
    </row>
    <row r="280" spans="1:9">
      <c r="A280" s="10" t="s">
        <v>201</v>
      </c>
      <c r="B280" s="12">
        <v>45714</v>
      </c>
      <c r="C280" s="10" t="s">
        <v>9</v>
      </c>
      <c r="D280" s="10" t="s">
        <v>226</v>
      </c>
      <c r="E280" s="10" t="s">
        <v>6</v>
      </c>
      <c r="F280" s="13">
        <v>61.74</v>
      </c>
      <c r="G280" s="13">
        <v>4.1399999999999997</v>
      </c>
      <c r="H280" s="13">
        <v>65.88</v>
      </c>
      <c r="I280" s="13">
        <v>35.01</v>
      </c>
    </row>
    <row r="281" spans="1:9">
      <c r="A281" s="10" t="s">
        <v>202</v>
      </c>
      <c r="B281" s="12">
        <v>46015</v>
      </c>
      <c r="C281" s="10" t="s">
        <v>14</v>
      </c>
      <c r="D281" s="10" t="s">
        <v>226</v>
      </c>
      <c r="E281" s="10" t="s">
        <v>6</v>
      </c>
      <c r="F281" s="13">
        <v>77.84</v>
      </c>
      <c r="G281" s="13">
        <v>14.61</v>
      </c>
      <c r="H281" s="13">
        <v>92.45</v>
      </c>
      <c r="I281" s="13">
        <v>53.53</v>
      </c>
    </row>
    <row r="282" spans="1:9">
      <c r="A282" s="10" t="s">
        <v>323</v>
      </c>
      <c r="B282" s="12">
        <v>45828</v>
      </c>
      <c r="C282" s="10" t="s">
        <v>9</v>
      </c>
      <c r="D282" s="10" t="s">
        <v>226</v>
      </c>
      <c r="E282" s="10" t="s">
        <v>12</v>
      </c>
      <c r="F282" s="13">
        <v>21.35</v>
      </c>
      <c r="G282" s="13">
        <v>6.8</v>
      </c>
      <c r="H282" s="13">
        <v>28.150000000000002</v>
      </c>
      <c r="I282" s="13">
        <v>17.475000000000001</v>
      </c>
    </row>
    <row r="283" spans="1:9">
      <c r="A283" s="10" t="s">
        <v>203</v>
      </c>
      <c r="B283" s="12">
        <v>46144</v>
      </c>
      <c r="C283" s="10" t="s">
        <v>14</v>
      </c>
      <c r="D283" s="10" t="s">
        <v>224</v>
      </c>
      <c r="E283" s="10" t="s">
        <v>15</v>
      </c>
      <c r="F283" s="13">
        <v>50.4</v>
      </c>
      <c r="G283" s="13">
        <v>8.23</v>
      </c>
      <c r="H283" s="13">
        <v>58.629999999999995</v>
      </c>
      <c r="I283" s="13">
        <v>33.43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2937-7B62-4DD1-9814-F8287FC74B42}">
  <dimension ref="A1:AC283"/>
  <sheetViews>
    <sheetView workbookViewId="0">
      <selection activeCell="K12" sqref="K12"/>
    </sheetView>
  </sheetViews>
  <sheetFormatPr defaultRowHeight="14.5"/>
  <cols>
    <col min="2" max="2" width="15.08984375" customWidth="1"/>
    <col min="3" max="3" width="13.54296875" customWidth="1"/>
    <col min="4" max="4" width="13.90625" customWidth="1"/>
    <col min="5" max="5" width="14.26953125" customWidth="1"/>
    <col min="6" max="6" width="16.1796875" customWidth="1"/>
    <col min="7" max="9" width="16.453125" customWidth="1"/>
    <col min="10" max="10" width="21.54296875" customWidth="1"/>
    <col min="11" max="11" width="50.90625" customWidth="1"/>
    <col min="12" max="29" width="16.453125" customWidth="1"/>
  </cols>
  <sheetData>
    <row r="1" spans="1:29">
      <c r="A1" s="11" t="s">
        <v>0</v>
      </c>
      <c r="B1" s="11" t="s">
        <v>1</v>
      </c>
      <c r="C1" s="11" t="s">
        <v>2</v>
      </c>
      <c r="D1" s="11" t="s">
        <v>222</v>
      </c>
      <c r="E1" s="11" t="s">
        <v>223</v>
      </c>
      <c r="F1" s="11" t="s">
        <v>3</v>
      </c>
      <c r="G1" s="11" t="s">
        <v>4</v>
      </c>
      <c r="H1" s="11" t="s">
        <v>205</v>
      </c>
      <c r="I1" s="11" t="s">
        <v>206</v>
      </c>
      <c r="J1" s="11" t="s">
        <v>343</v>
      </c>
      <c r="K1" s="11" t="s">
        <v>344</v>
      </c>
      <c r="L1" s="11" t="s">
        <v>338</v>
      </c>
      <c r="M1" s="11" t="s">
        <v>217</v>
      </c>
      <c r="N1" s="11" t="s">
        <v>213</v>
      </c>
      <c r="O1" s="11" t="s">
        <v>214</v>
      </c>
      <c r="P1" s="11" t="s">
        <v>215</v>
      </c>
      <c r="Q1" s="11" t="s">
        <v>216</v>
      </c>
      <c r="R1" s="11" t="s">
        <v>218</v>
      </c>
      <c r="S1" s="11" t="s">
        <v>342</v>
      </c>
      <c r="T1" s="11" t="s">
        <v>212</v>
      </c>
      <c r="U1" s="11" t="s">
        <v>211</v>
      </c>
      <c r="V1" s="11" t="s">
        <v>210</v>
      </c>
      <c r="W1" s="11" t="s">
        <v>339</v>
      </c>
      <c r="X1" s="11" t="s">
        <v>219</v>
      </c>
      <c r="Y1" s="11" t="s">
        <v>209</v>
      </c>
      <c r="Z1" s="11" t="s">
        <v>208</v>
      </c>
      <c r="AA1" s="11" t="s">
        <v>207</v>
      </c>
      <c r="AB1" s="11" t="s">
        <v>340</v>
      </c>
      <c r="AC1" s="11" t="s">
        <v>341</v>
      </c>
    </row>
    <row r="2" spans="1:29">
      <c r="A2" s="10" t="s">
        <v>204</v>
      </c>
      <c r="B2" s="12">
        <v>46188</v>
      </c>
      <c r="C2" s="10" t="s">
        <v>5</v>
      </c>
      <c r="D2" s="10" t="s">
        <v>224</v>
      </c>
      <c r="E2" s="10" t="s">
        <v>6</v>
      </c>
      <c r="F2" s="13">
        <v>48.37</v>
      </c>
      <c r="G2" s="13">
        <v>3.55</v>
      </c>
      <c r="H2" s="13">
        <f>SUM(F2,G2)</f>
        <v>51.919999999999995</v>
      </c>
      <c r="I2" s="13">
        <f>AVERAGE(G2,H2)</f>
        <v>27.734999999999996</v>
      </c>
      <c r="J2" s="13" t="s">
        <v>346</v>
      </c>
      <c r="K2" s="13" t="s">
        <v>345</v>
      </c>
      <c r="L2" s="14">
        <f ca="1">NOW()</f>
        <v>46259.736839120371</v>
      </c>
      <c r="M2" s="15">
        <f ca="1">DAY(L2)</f>
        <v>25</v>
      </c>
      <c r="N2" s="16">
        <f ca="1">TODAY()</f>
        <v>46259</v>
      </c>
      <c r="O2" s="15">
        <f ca="1">MONTH(N2)</f>
        <v>8</v>
      </c>
      <c r="P2" s="15">
        <f ca="1">YEAR(N2)</f>
        <v>2026</v>
      </c>
      <c r="Q2" s="16">
        <f ca="1">DATE(P2,O2,M2)</f>
        <v>46259</v>
      </c>
      <c r="R2" s="13">
        <f>COUNTIF(H2:H283,"&lt;50")</f>
        <v>235</v>
      </c>
      <c r="S2" s="13">
        <f>COUNT(H2:H283)</f>
        <v>282</v>
      </c>
      <c r="T2" s="13">
        <f>MIN(H2:H283)</f>
        <v>-1.71</v>
      </c>
      <c r="U2" s="13">
        <f>MAX(H2:H283)</f>
        <v>92.84</v>
      </c>
      <c r="V2" s="13">
        <f>MEDIAN(H2:H283)</f>
        <v>28.15</v>
      </c>
      <c r="W2" s="13">
        <f>SUM(H2:H283)</f>
        <v>9130.600000000004</v>
      </c>
      <c r="X2" s="13">
        <f>AVERAGEIF(I2:I283,"&gt;50",I2:I283)</f>
        <v>53.53</v>
      </c>
      <c r="Y2" s="13">
        <f>SUMIF(H2:H283,"&gt;50",H2:H283)</f>
        <v>3091.6400000000003</v>
      </c>
      <c r="Z2" s="13" t="str">
        <f>IF(H2&gt;30,"high","low")</f>
        <v>high</v>
      </c>
      <c r="AA2" s="13" t="str" cm="1">
        <f t="array" ref="AA2">_xlfn.IFS(H2&gt;30,"high",H2&gt;20,"medium",H2&lt;=20,"low")</f>
        <v>high</v>
      </c>
      <c r="AB2" s="13" t="b">
        <f>AND(I2&gt;10,I2&lt;30)</f>
        <v>1</v>
      </c>
      <c r="AC2" s="13" t="b">
        <f>OR(I2&gt;10,I2&lt;30)</f>
        <v>1</v>
      </c>
    </row>
    <row r="3" spans="1:29">
      <c r="A3" s="10" t="s">
        <v>225</v>
      </c>
      <c r="B3" s="12">
        <v>45720</v>
      </c>
      <c r="C3" s="10" t="s">
        <v>7</v>
      </c>
      <c r="D3" s="10" t="s">
        <v>226</v>
      </c>
      <c r="E3" s="10" t="s">
        <v>8</v>
      </c>
      <c r="F3" s="13">
        <v>19.05</v>
      </c>
      <c r="G3" s="13">
        <v>0.64</v>
      </c>
      <c r="H3" s="13">
        <f t="shared" ref="H3:H66" si="0">SUM(F3,G3)</f>
        <v>19.690000000000001</v>
      </c>
      <c r="I3" s="13">
        <f t="shared" ref="I3:I66" si="1">AVERAGE(G3,H3)</f>
        <v>10.165000000000001</v>
      </c>
      <c r="J3" s="13" t="s">
        <v>347</v>
      </c>
      <c r="K3" s="13" t="s">
        <v>354</v>
      </c>
      <c r="L3" s="14"/>
      <c r="M3" s="17"/>
      <c r="N3" s="13"/>
      <c r="O3" s="13"/>
      <c r="P3" s="13"/>
      <c r="Q3" s="13"/>
      <c r="R3" s="13"/>
      <c r="S3" s="13"/>
      <c r="T3" s="13"/>
      <c r="U3" s="13"/>
      <c r="V3" s="13"/>
      <c r="W3" s="13"/>
      <c r="X3" s="13"/>
      <c r="Y3" s="13"/>
      <c r="Z3" s="13" t="str">
        <f t="shared" ref="Z3:Z66" si="2">IF(H3&gt;30,"high","low")</f>
        <v>low</v>
      </c>
      <c r="AA3" s="13" t="str" cm="1">
        <f t="array" ref="AA3">_xlfn.IFS(H3&gt;30,"high",H3&gt;20,"medium",H3&lt;=20,"low")</f>
        <v>low</v>
      </c>
      <c r="AB3" s="13" t="b">
        <f t="shared" ref="AB3:AB66" si="3">AND(I3&gt;10,I3&lt;30)</f>
        <v>1</v>
      </c>
      <c r="AC3" s="13" t="b">
        <f t="shared" ref="AC3:AC66" si="4">OR(I3&gt;10,I3&lt;30)</f>
        <v>1</v>
      </c>
    </row>
    <row r="4" spans="1:29">
      <c r="A4" s="10" t="s">
        <v>227</v>
      </c>
      <c r="B4" s="12">
        <v>45903</v>
      </c>
      <c r="C4" s="10" t="s">
        <v>9</v>
      </c>
      <c r="D4" s="10" t="s">
        <v>226</v>
      </c>
      <c r="E4" s="10" t="s">
        <v>6</v>
      </c>
      <c r="F4" s="13">
        <v>7.95</v>
      </c>
      <c r="G4" s="13">
        <v>2.09</v>
      </c>
      <c r="H4" s="13">
        <f t="shared" si="0"/>
        <v>10.039999999999999</v>
      </c>
      <c r="I4" s="13">
        <f t="shared" si="1"/>
        <v>6.0649999999999995</v>
      </c>
      <c r="J4" s="13" t="s">
        <v>348</v>
      </c>
      <c r="K4" s="13" t="s">
        <v>353</v>
      </c>
      <c r="L4" s="13"/>
      <c r="M4" s="13"/>
      <c r="N4" s="13"/>
      <c r="O4" s="13"/>
      <c r="P4" s="13"/>
      <c r="Q4" s="13"/>
      <c r="R4" s="13"/>
      <c r="S4" s="13"/>
      <c r="T4" s="13"/>
      <c r="U4" s="13"/>
      <c r="V4" s="13"/>
      <c r="W4" s="13"/>
      <c r="X4" s="13"/>
      <c r="Y4" s="13"/>
      <c r="Z4" s="13" t="str">
        <f t="shared" si="2"/>
        <v>low</v>
      </c>
      <c r="AA4" s="13" t="str" cm="1">
        <f t="array" ref="AA4">_xlfn.IFS(H4&gt;30,"high",H4&gt;20,"medium",H4&lt;=20,"low")</f>
        <v>low</v>
      </c>
      <c r="AB4" s="13" t="b">
        <f t="shared" si="3"/>
        <v>0</v>
      </c>
      <c r="AC4" s="13" t="b">
        <f t="shared" si="4"/>
        <v>1</v>
      </c>
    </row>
    <row r="5" spans="1:29">
      <c r="A5" s="10" t="s">
        <v>228</v>
      </c>
      <c r="B5" s="12">
        <v>45796</v>
      </c>
      <c r="C5" s="10" t="s">
        <v>5</v>
      </c>
      <c r="D5" s="10" t="s">
        <v>226</v>
      </c>
      <c r="E5" s="10" t="s">
        <v>6</v>
      </c>
      <c r="F5" s="13">
        <v>78.87</v>
      </c>
      <c r="G5" s="13">
        <v>6.97</v>
      </c>
      <c r="H5" s="13">
        <f t="shared" si="0"/>
        <v>85.84</v>
      </c>
      <c r="I5" s="13">
        <f t="shared" si="1"/>
        <v>46.405000000000001</v>
      </c>
      <c r="J5" s="13" t="s">
        <v>349</v>
      </c>
      <c r="K5" s="13" t="s">
        <v>352</v>
      </c>
      <c r="L5" s="13"/>
      <c r="M5" s="13"/>
      <c r="N5" s="13"/>
      <c r="O5" s="13"/>
      <c r="P5" s="13"/>
      <c r="Q5" s="13"/>
      <c r="R5" s="13"/>
      <c r="S5" s="13"/>
      <c r="T5" s="13"/>
      <c r="U5" s="13"/>
      <c r="V5" s="13"/>
      <c r="W5" s="13"/>
      <c r="X5" s="13"/>
      <c r="Y5" s="13"/>
      <c r="Z5" s="13" t="str">
        <f t="shared" si="2"/>
        <v>high</v>
      </c>
      <c r="AA5" s="13" t="str" cm="1">
        <f t="array" ref="AA5">_xlfn.IFS(H5&gt;30,"high",H5&gt;20,"medium",H5&lt;=20,"low")</f>
        <v>high</v>
      </c>
      <c r="AB5" s="13" t="b">
        <f t="shared" si="3"/>
        <v>0</v>
      </c>
      <c r="AC5" s="13" t="b">
        <f t="shared" si="4"/>
        <v>1</v>
      </c>
    </row>
    <row r="6" spans="1:29">
      <c r="A6" s="10" t="s">
        <v>10</v>
      </c>
      <c r="B6" s="12">
        <v>46125</v>
      </c>
      <c r="C6" s="10" t="s">
        <v>5</v>
      </c>
      <c r="D6" s="10" t="s">
        <v>226</v>
      </c>
      <c r="E6" s="10" t="s">
        <v>12</v>
      </c>
      <c r="F6" s="13">
        <v>49.49</v>
      </c>
      <c r="G6" s="13">
        <v>12.76</v>
      </c>
      <c r="H6" s="13">
        <f t="shared" si="0"/>
        <v>62.25</v>
      </c>
      <c r="I6" s="13">
        <f t="shared" si="1"/>
        <v>37.505000000000003</v>
      </c>
      <c r="J6" s="13" t="s">
        <v>350</v>
      </c>
      <c r="K6" s="13" t="s">
        <v>351</v>
      </c>
      <c r="L6" s="13"/>
      <c r="M6" s="13"/>
      <c r="N6" s="13"/>
      <c r="O6" s="13"/>
      <c r="P6" s="13"/>
      <c r="Q6" s="13"/>
      <c r="R6" s="13"/>
      <c r="S6" s="13"/>
      <c r="T6" s="13"/>
      <c r="U6" s="13"/>
      <c r="V6" s="13"/>
      <c r="W6" s="13"/>
      <c r="X6" s="13"/>
      <c r="Y6" s="13"/>
      <c r="Z6" s="13" t="str">
        <f t="shared" si="2"/>
        <v>high</v>
      </c>
      <c r="AA6" s="13" t="str" cm="1">
        <f t="array" ref="AA6">_xlfn.IFS(H6&gt;30,"high",H6&gt;20,"medium",H6&lt;=20,"low")</f>
        <v>high</v>
      </c>
      <c r="AB6" s="13" t="b">
        <f t="shared" si="3"/>
        <v>0</v>
      </c>
      <c r="AC6" s="13" t="b">
        <f t="shared" si="4"/>
        <v>1</v>
      </c>
    </row>
    <row r="7" spans="1:29">
      <c r="A7" s="10" t="s">
        <v>11</v>
      </c>
      <c r="B7" s="12">
        <v>45997</v>
      </c>
      <c r="C7" s="10" t="s">
        <v>9</v>
      </c>
      <c r="D7" s="10" t="s">
        <v>226</v>
      </c>
      <c r="E7" s="10" t="s">
        <v>6</v>
      </c>
      <c r="F7" s="13">
        <v>43.44</v>
      </c>
      <c r="G7" s="13">
        <v>7.37</v>
      </c>
      <c r="H7" s="13">
        <f t="shared" si="0"/>
        <v>50.809999999999995</v>
      </c>
      <c r="I7" s="13">
        <f t="shared" si="1"/>
        <v>29.089999999999996</v>
      </c>
      <c r="J7" s="13" t="s">
        <v>355</v>
      </c>
      <c r="K7" s="13" t="s">
        <v>356</v>
      </c>
      <c r="L7" s="13"/>
      <c r="M7" s="13"/>
      <c r="N7" s="13"/>
      <c r="O7" s="13"/>
      <c r="P7" s="13"/>
      <c r="Q7" s="13"/>
      <c r="R7" s="13"/>
      <c r="S7" s="13"/>
      <c r="T7" s="13"/>
      <c r="U7" s="13"/>
      <c r="V7" s="13"/>
      <c r="W7" s="13"/>
      <c r="X7" s="13"/>
      <c r="Y7" s="13"/>
      <c r="Z7" s="13" t="str">
        <f t="shared" si="2"/>
        <v>high</v>
      </c>
      <c r="AA7" s="13" t="str" cm="1">
        <f t="array" ref="AA7">_xlfn.IFS(H7&gt;30,"high",H7&gt;20,"medium",H7&lt;=20,"low")</f>
        <v>high</v>
      </c>
      <c r="AB7" s="13" t="b">
        <f t="shared" si="3"/>
        <v>1</v>
      </c>
      <c r="AC7" s="13" t="b">
        <f t="shared" si="4"/>
        <v>1</v>
      </c>
    </row>
    <row r="8" spans="1:29">
      <c r="A8" s="10" t="s">
        <v>13</v>
      </c>
      <c r="B8" s="12">
        <v>46134</v>
      </c>
      <c r="C8" s="10" t="s">
        <v>14</v>
      </c>
      <c r="D8" s="10" t="s">
        <v>6</v>
      </c>
      <c r="E8" s="10" t="s">
        <v>15</v>
      </c>
      <c r="F8" s="13">
        <v>69.59</v>
      </c>
      <c r="G8" s="13">
        <v>7.05</v>
      </c>
      <c r="H8" s="13">
        <f t="shared" si="0"/>
        <v>76.64</v>
      </c>
      <c r="I8" s="13">
        <f t="shared" si="1"/>
        <v>41.844999999999999</v>
      </c>
      <c r="J8" s="13" t="s">
        <v>357</v>
      </c>
      <c r="K8" s="13" t="s">
        <v>358</v>
      </c>
      <c r="L8" s="13"/>
      <c r="M8" s="13"/>
      <c r="N8" s="13"/>
      <c r="O8" s="13"/>
      <c r="P8" s="13"/>
      <c r="Q8" s="13"/>
      <c r="R8" s="13"/>
      <c r="S8" s="13"/>
      <c r="T8" s="13"/>
      <c r="U8" s="13"/>
      <c r="V8" s="13"/>
      <c r="W8" s="13"/>
      <c r="X8" s="13"/>
      <c r="Y8" s="13"/>
      <c r="Z8" s="13" t="str">
        <f t="shared" si="2"/>
        <v>high</v>
      </c>
      <c r="AA8" s="13" t="str" cm="1">
        <f t="array" ref="AA8">_xlfn.IFS(H8&gt;30,"high",H8&gt;20,"medium",H8&lt;=20,"low")</f>
        <v>high</v>
      </c>
      <c r="AB8" s="13" t="b">
        <f t="shared" si="3"/>
        <v>0</v>
      </c>
      <c r="AC8" s="13" t="b">
        <f t="shared" si="4"/>
        <v>1</v>
      </c>
    </row>
    <row r="9" spans="1:29">
      <c r="A9" s="10" t="s">
        <v>16</v>
      </c>
      <c r="B9" s="12">
        <v>45660</v>
      </c>
      <c r="C9" s="10" t="s">
        <v>5</v>
      </c>
      <c r="D9" s="10" t="s">
        <v>226</v>
      </c>
      <c r="E9" s="10" t="s">
        <v>12</v>
      </c>
      <c r="F9" s="13">
        <v>12.72</v>
      </c>
      <c r="G9" s="13">
        <v>7.49</v>
      </c>
      <c r="H9" s="13">
        <f t="shared" si="0"/>
        <v>20.21</v>
      </c>
      <c r="I9" s="13">
        <f t="shared" si="1"/>
        <v>13.850000000000001</v>
      </c>
      <c r="J9" s="13" t="s">
        <v>364</v>
      </c>
      <c r="K9" s="13">
        <v>0</v>
      </c>
      <c r="L9" s="13"/>
      <c r="M9" s="13"/>
      <c r="N9" s="13"/>
      <c r="O9" s="13"/>
      <c r="P9" s="13"/>
      <c r="Q9" s="13"/>
      <c r="R9" s="13"/>
      <c r="S9" s="13"/>
      <c r="T9" s="13"/>
      <c r="U9" s="13"/>
      <c r="V9" s="13"/>
      <c r="W9" s="13"/>
      <c r="X9" s="13"/>
      <c r="Y9" s="13"/>
      <c r="Z9" s="13" t="str">
        <f t="shared" si="2"/>
        <v>low</v>
      </c>
      <c r="AA9" s="13" t="str" cm="1">
        <f t="array" ref="AA9">_xlfn.IFS(H9&gt;30,"high",H9&gt;20,"medium",H9&lt;=20,"low")</f>
        <v>medium</v>
      </c>
      <c r="AB9" s="13" t="b">
        <f t="shared" si="3"/>
        <v>1</v>
      </c>
      <c r="AC9" s="13" t="b">
        <f t="shared" si="4"/>
        <v>1</v>
      </c>
    </row>
    <row r="10" spans="1:29">
      <c r="A10" s="10" t="s">
        <v>17</v>
      </c>
      <c r="B10" s="12">
        <v>45697</v>
      </c>
      <c r="C10" s="10" t="s">
        <v>7</v>
      </c>
      <c r="D10" s="10" t="s">
        <v>226</v>
      </c>
      <c r="E10" s="10" t="s">
        <v>12</v>
      </c>
      <c r="F10" s="13">
        <v>47.49</v>
      </c>
      <c r="G10" s="13">
        <v>4.2</v>
      </c>
      <c r="H10" s="13">
        <f t="shared" si="0"/>
        <v>51.690000000000005</v>
      </c>
      <c r="I10" s="13">
        <f t="shared" si="1"/>
        <v>27.945000000000004</v>
      </c>
      <c r="J10" s="13"/>
      <c r="K10" s="13" t="s">
        <v>365</v>
      </c>
      <c r="L10" s="13"/>
      <c r="M10" s="13"/>
      <c r="N10" s="13"/>
      <c r="O10" s="13"/>
      <c r="P10" s="13"/>
      <c r="Q10" s="13"/>
      <c r="R10" s="13"/>
      <c r="S10" s="13"/>
      <c r="T10" s="13"/>
      <c r="U10" s="13"/>
      <c r="V10" s="13"/>
      <c r="W10" s="13"/>
      <c r="X10" s="13"/>
      <c r="Y10" s="13"/>
      <c r="Z10" s="13" t="str">
        <f t="shared" si="2"/>
        <v>high</v>
      </c>
      <c r="AA10" s="13" t="str" cm="1">
        <f t="array" ref="AA10">_xlfn.IFS(H10&gt;30,"high",H10&gt;20,"medium",H10&lt;=20,"low")</f>
        <v>high</v>
      </c>
      <c r="AB10" s="13" t="b">
        <f t="shared" si="3"/>
        <v>1</v>
      </c>
      <c r="AC10" s="13" t="b">
        <f t="shared" si="4"/>
        <v>1</v>
      </c>
    </row>
    <row r="11" spans="1:29">
      <c r="A11" s="10" t="s">
        <v>18</v>
      </c>
      <c r="B11" s="12">
        <v>46035</v>
      </c>
      <c r="C11" s="10" t="s">
        <v>19</v>
      </c>
      <c r="D11" s="10" t="s">
        <v>226</v>
      </c>
      <c r="E11" s="10" t="s">
        <v>8</v>
      </c>
      <c r="F11" s="13">
        <v>14.99</v>
      </c>
      <c r="G11" s="13">
        <v>3.97</v>
      </c>
      <c r="H11" s="13">
        <f t="shared" si="0"/>
        <v>18.96</v>
      </c>
      <c r="I11" s="13">
        <f t="shared" si="1"/>
        <v>11.465</v>
      </c>
      <c r="J11" s="13"/>
      <c r="K11" s="13"/>
      <c r="L11" s="13"/>
      <c r="M11" s="13"/>
      <c r="N11" s="13"/>
      <c r="O11" s="13"/>
      <c r="P11" s="13"/>
      <c r="Q11" s="13"/>
      <c r="R11" s="13"/>
      <c r="S11" s="13"/>
      <c r="T11" s="13"/>
      <c r="U11" s="13"/>
      <c r="V11" s="13"/>
      <c r="W11" s="13"/>
      <c r="X11" s="13"/>
      <c r="Y11" s="13"/>
      <c r="Z11" s="13" t="str">
        <f t="shared" si="2"/>
        <v>low</v>
      </c>
      <c r="AA11" s="13" t="str" cm="1">
        <f t="array" ref="AA11">_xlfn.IFS(H11&gt;30,"high",H11&gt;20,"medium",H11&lt;=20,"low")</f>
        <v>low</v>
      </c>
      <c r="AB11" s="13" t="b">
        <f t="shared" si="3"/>
        <v>1</v>
      </c>
      <c r="AC11" s="13" t="b">
        <f t="shared" si="4"/>
        <v>1</v>
      </c>
    </row>
    <row r="12" spans="1:29">
      <c r="A12" s="10" t="s">
        <v>20</v>
      </c>
      <c r="B12" s="12">
        <v>46227</v>
      </c>
      <c r="C12" s="10" t="s">
        <v>21</v>
      </c>
      <c r="D12" s="10" t="s">
        <v>226</v>
      </c>
      <c r="E12" s="10" t="s">
        <v>12</v>
      </c>
      <c r="F12" s="13">
        <v>8.7100000000000009</v>
      </c>
      <c r="G12" s="13">
        <v>4.3</v>
      </c>
      <c r="H12" s="13">
        <f t="shared" si="0"/>
        <v>13.010000000000002</v>
      </c>
      <c r="I12" s="13">
        <f t="shared" si="1"/>
        <v>8.6550000000000011</v>
      </c>
      <c r="J12" s="13"/>
      <c r="K12" s="13"/>
      <c r="L12" s="13"/>
      <c r="M12" s="13"/>
      <c r="N12" s="13"/>
      <c r="O12" s="13"/>
      <c r="P12" s="13"/>
      <c r="Q12" s="13"/>
      <c r="R12" s="13"/>
      <c r="S12" s="13"/>
      <c r="T12" s="13"/>
      <c r="U12" s="13"/>
      <c r="V12" s="13"/>
      <c r="W12" s="13"/>
      <c r="X12" s="13"/>
      <c r="Y12" s="13"/>
      <c r="Z12" s="13" t="str">
        <f t="shared" si="2"/>
        <v>low</v>
      </c>
      <c r="AA12" s="13" t="str" cm="1">
        <f t="array" ref="AA12">_xlfn.IFS(H12&gt;30,"high",H12&gt;20,"medium",H12&lt;=20,"low")</f>
        <v>low</v>
      </c>
      <c r="AB12" s="13" t="b">
        <f t="shared" si="3"/>
        <v>0</v>
      </c>
      <c r="AC12" s="13" t="b">
        <f t="shared" si="4"/>
        <v>1</v>
      </c>
    </row>
    <row r="13" spans="1:29">
      <c r="A13" s="10" t="s">
        <v>229</v>
      </c>
      <c r="B13" s="12">
        <v>45724</v>
      </c>
      <c r="C13" s="10" t="s">
        <v>19</v>
      </c>
      <c r="D13" s="10" t="s">
        <v>6</v>
      </c>
      <c r="E13" s="10" t="s">
        <v>8</v>
      </c>
      <c r="F13" s="13">
        <v>20.58</v>
      </c>
      <c r="G13" s="13">
        <v>4.5199999999999996</v>
      </c>
      <c r="H13" s="13">
        <f t="shared" si="0"/>
        <v>25.099999999999998</v>
      </c>
      <c r="I13" s="13">
        <f t="shared" si="1"/>
        <v>14.809999999999999</v>
      </c>
      <c r="J13" s="13"/>
      <c r="K13" s="13"/>
      <c r="L13" s="13"/>
      <c r="M13" s="13"/>
      <c r="N13" s="13"/>
      <c r="O13" s="13"/>
      <c r="P13" s="13"/>
      <c r="Q13" s="13"/>
      <c r="R13" s="13"/>
      <c r="S13" s="13"/>
      <c r="T13" s="13"/>
      <c r="U13" s="13"/>
      <c r="V13" s="13"/>
      <c r="W13" s="13"/>
      <c r="X13" s="13"/>
      <c r="Y13" s="13"/>
      <c r="Z13" s="13" t="str">
        <f t="shared" si="2"/>
        <v>low</v>
      </c>
      <c r="AA13" s="13" t="str" cm="1">
        <f t="array" ref="AA13">_xlfn.IFS(H13&gt;30,"high",H13&gt;20,"medium",H13&lt;=20,"low")</f>
        <v>medium</v>
      </c>
      <c r="AB13" s="13" t="b">
        <f t="shared" si="3"/>
        <v>1</v>
      </c>
      <c r="AC13" s="13" t="b">
        <f t="shared" si="4"/>
        <v>1</v>
      </c>
    </row>
    <row r="14" spans="1:29">
      <c r="A14" s="10" t="s">
        <v>22</v>
      </c>
      <c r="B14" s="12">
        <v>46132</v>
      </c>
      <c r="C14" s="10" t="s">
        <v>14</v>
      </c>
      <c r="D14" s="10" t="s">
        <v>226</v>
      </c>
      <c r="E14" s="10" t="s">
        <v>6</v>
      </c>
      <c r="F14" s="13">
        <v>3.76</v>
      </c>
      <c r="G14" s="13">
        <v>2.4300000000000002</v>
      </c>
      <c r="H14" s="13">
        <f t="shared" si="0"/>
        <v>6.1899999999999995</v>
      </c>
      <c r="I14" s="13">
        <f t="shared" si="1"/>
        <v>4.3099999999999996</v>
      </c>
      <c r="J14" s="13"/>
      <c r="K14" s="13"/>
      <c r="L14" s="13"/>
      <c r="M14" s="13"/>
      <c r="N14" s="13"/>
      <c r="O14" s="13"/>
      <c r="P14" s="13"/>
      <c r="Q14" s="13"/>
      <c r="R14" s="13"/>
      <c r="S14" s="13"/>
      <c r="T14" s="13"/>
      <c r="U14" s="13"/>
      <c r="V14" s="13"/>
      <c r="W14" s="13"/>
      <c r="X14" s="13"/>
      <c r="Y14" s="13"/>
      <c r="Z14" s="13" t="str">
        <f t="shared" si="2"/>
        <v>low</v>
      </c>
      <c r="AA14" s="13" t="str" cm="1">
        <f t="array" ref="AA14">_xlfn.IFS(H14&gt;30,"high",H14&gt;20,"medium",H14&lt;=20,"low")</f>
        <v>low</v>
      </c>
      <c r="AB14" s="13" t="b">
        <f t="shared" si="3"/>
        <v>0</v>
      </c>
      <c r="AC14" s="13" t="b">
        <f t="shared" si="4"/>
        <v>1</v>
      </c>
    </row>
    <row r="15" spans="1:29">
      <c r="A15" s="10" t="s">
        <v>23</v>
      </c>
      <c r="B15" s="12">
        <v>45929</v>
      </c>
      <c r="C15" s="10" t="s">
        <v>5</v>
      </c>
      <c r="D15" s="10" t="s">
        <v>226</v>
      </c>
      <c r="E15" s="10" t="s">
        <v>8</v>
      </c>
      <c r="F15" s="13">
        <v>4</v>
      </c>
      <c r="G15" s="13">
        <v>8.3800000000000008</v>
      </c>
      <c r="H15" s="13">
        <f t="shared" si="0"/>
        <v>12.38</v>
      </c>
      <c r="I15" s="13">
        <f t="shared" si="1"/>
        <v>10.38</v>
      </c>
      <c r="J15" s="13"/>
      <c r="K15" s="13"/>
      <c r="L15" s="13"/>
      <c r="M15" s="13"/>
      <c r="N15" s="13"/>
      <c r="O15" s="13"/>
      <c r="P15" s="13"/>
      <c r="Q15" s="13"/>
      <c r="R15" s="13"/>
      <c r="S15" s="13"/>
      <c r="T15" s="13"/>
      <c r="U15" s="13"/>
      <c r="V15" s="13"/>
      <c r="W15" s="13"/>
      <c r="X15" s="13"/>
      <c r="Y15" s="13"/>
      <c r="Z15" s="13" t="str">
        <f t="shared" si="2"/>
        <v>low</v>
      </c>
      <c r="AA15" s="13" t="str" cm="1">
        <f t="array" ref="AA15">_xlfn.IFS(H15&gt;30,"high",H15&gt;20,"medium",H15&lt;=20,"low")</f>
        <v>low</v>
      </c>
      <c r="AB15" s="13" t="b">
        <f t="shared" si="3"/>
        <v>1</v>
      </c>
      <c r="AC15" s="13" t="b">
        <f t="shared" si="4"/>
        <v>1</v>
      </c>
    </row>
    <row r="16" spans="1:29">
      <c r="A16" s="10" t="s">
        <v>231</v>
      </c>
      <c r="B16" s="12">
        <v>45741</v>
      </c>
      <c r="C16" s="10" t="s">
        <v>21</v>
      </c>
      <c r="D16" s="10" t="s">
        <v>224</v>
      </c>
      <c r="E16" s="10" t="s">
        <v>8</v>
      </c>
      <c r="F16" s="13">
        <v>21.81</v>
      </c>
      <c r="G16" s="13">
        <v>3.72</v>
      </c>
      <c r="H16" s="13">
        <f t="shared" si="0"/>
        <v>25.529999999999998</v>
      </c>
      <c r="I16" s="13">
        <f t="shared" si="1"/>
        <v>14.624999999999998</v>
      </c>
      <c r="J16" s="13"/>
      <c r="K16" s="13"/>
      <c r="L16" s="13"/>
      <c r="M16" s="13"/>
      <c r="N16" s="13"/>
      <c r="O16" s="13"/>
      <c r="P16" s="13"/>
      <c r="Q16" s="13"/>
      <c r="R16" s="13"/>
      <c r="S16" s="13"/>
      <c r="T16" s="13"/>
      <c r="U16" s="13"/>
      <c r="V16" s="13"/>
      <c r="W16" s="13"/>
      <c r="X16" s="13"/>
      <c r="Y16" s="13"/>
      <c r="Z16" s="13" t="str">
        <f t="shared" si="2"/>
        <v>low</v>
      </c>
      <c r="AA16" s="13" t="str" cm="1">
        <f t="array" ref="AA16">_xlfn.IFS(H16&gt;30,"high",H16&gt;20,"medium",H16&lt;=20,"low")</f>
        <v>medium</v>
      </c>
      <c r="AB16" s="13" t="b">
        <f t="shared" si="3"/>
        <v>1</v>
      </c>
      <c r="AC16" s="13" t="b">
        <f t="shared" si="4"/>
        <v>1</v>
      </c>
    </row>
    <row r="17" spans="1:29">
      <c r="A17" s="10" t="s">
        <v>24</v>
      </c>
      <c r="B17" s="12">
        <v>46154</v>
      </c>
      <c r="C17" s="10" t="s">
        <v>19</v>
      </c>
      <c r="D17" s="10" t="s">
        <v>224</v>
      </c>
      <c r="E17" s="10" t="s">
        <v>8</v>
      </c>
      <c r="F17" s="13">
        <v>5.12</v>
      </c>
      <c r="G17" s="13">
        <v>2.64</v>
      </c>
      <c r="H17" s="13">
        <f t="shared" si="0"/>
        <v>7.76</v>
      </c>
      <c r="I17" s="13">
        <f t="shared" si="1"/>
        <v>5.2</v>
      </c>
      <c r="J17" s="13"/>
      <c r="K17" s="13"/>
      <c r="L17" s="13"/>
      <c r="M17" s="13"/>
      <c r="N17" s="13"/>
      <c r="O17" s="13"/>
      <c r="P17" s="13"/>
      <c r="Q17" s="13"/>
      <c r="R17" s="13"/>
      <c r="S17" s="13"/>
      <c r="T17" s="13"/>
      <c r="U17" s="13"/>
      <c r="V17" s="13"/>
      <c r="W17" s="13"/>
      <c r="X17" s="13"/>
      <c r="Y17" s="13"/>
      <c r="Z17" s="13" t="str">
        <f t="shared" si="2"/>
        <v>low</v>
      </c>
      <c r="AA17" s="13" t="str" cm="1">
        <f t="array" ref="AA17">_xlfn.IFS(H17&gt;30,"high",H17&gt;20,"medium",H17&lt;=20,"low")</f>
        <v>low</v>
      </c>
      <c r="AB17" s="13" t="b">
        <f t="shared" si="3"/>
        <v>0</v>
      </c>
      <c r="AC17" s="13" t="b">
        <f t="shared" si="4"/>
        <v>1</v>
      </c>
    </row>
    <row r="18" spans="1:29">
      <c r="A18" s="10" t="s">
        <v>25</v>
      </c>
      <c r="B18" s="12">
        <v>45703</v>
      </c>
      <c r="C18" s="10" t="s">
        <v>5</v>
      </c>
      <c r="D18" s="10" t="s">
        <v>226</v>
      </c>
      <c r="E18" s="10" t="s">
        <v>12</v>
      </c>
      <c r="F18" s="13">
        <v>22.72</v>
      </c>
      <c r="G18" s="13">
        <v>2.11</v>
      </c>
      <c r="H18" s="13">
        <f t="shared" si="0"/>
        <v>24.83</v>
      </c>
      <c r="I18" s="13">
        <f t="shared" si="1"/>
        <v>13.469999999999999</v>
      </c>
      <c r="J18" s="13"/>
      <c r="K18" s="13"/>
      <c r="L18" s="13"/>
      <c r="M18" s="13"/>
      <c r="N18" s="13"/>
      <c r="O18" s="13"/>
      <c r="P18" s="13"/>
      <c r="Q18" s="13"/>
      <c r="R18" s="13"/>
      <c r="S18" s="13"/>
      <c r="T18" s="13"/>
      <c r="U18" s="13"/>
      <c r="V18" s="13"/>
      <c r="W18" s="13"/>
      <c r="X18" s="13"/>
      <c r="Y18" s="13"/>
      <c r="Z18" s="13" t="str">
        <f t="shared" si="2"/>
        <v>low</v>
      </c>
      <c r="AA18" s="13" t="str" cm="1">
        <f t="array" ref="AA18">_xlfn.IFS(H18&gt;30,"high",H18&gt;20,"medium",H18&lt;=20,"low")</f>
        <v>medium</v>
      </c>
      <c r="AB18" s="13" t="b">
        <f t="shared" si="3"/>
        <v>1</v>
      </c>
      <c r="AC18" s="13" t="b">
        <f t="shared" si="4"/>
        <v>1</v>
      </c>
    </row>
    <row r="19" spans="1:29">
      <c r="A19" s="10" t="s">
        <v>26</v>
      </c>
      <c r="B19" s="12">
        <v>45669</v>
      </c>
      <c r="C19" s="10" t="s">
        <v>19</v>
      </c>
      <c r="D19" s="10" t="s">
        <v>226</v>
      </c>
      <c r="E19" s="10" t="s">
        <v>15</v>
      </c>
      <c r="F19" s="13">
        <v>32.450000000000003</v>
      </c>
      <c r="G19" s="13">
        <v>5.43</v>
      </c>
      <c r="H19" s="13">
        <f t="shared" si="0"/>
        <v>37.880000000000003</v>
      </c>
      <c r="I19" s="13">
        <f t="shared" si="1"/>
        <v>21.655000000000001</v>
      </c>
      <c r="J19" s="13"/>
      <c r="K19" s="13"/>
      <c r="L19" s="13"/>
      <c r="M19" s="13"/>
      <c r="N19" s="13"/>
      <c r="O19" s="13"/>
      <c r="P19" s="13"/>
      <c r="Q19" s="13"/>
      <c r="R19" s="13"/>
      <c r="S19" s="13"/>
      <c r="T19" s="13"/>
      <c r="U19" s="13"/>
      <c r="V19" s="13"/>
      <c r="W19" s="13"/>
      <c r="X19" s="13"/>
      <c r="Y19" s="13"/>
      <c r="Z19" s="13" t="str">
        <f t="shared" si="2"/>
        <v>high</v>
      </c>
      <c r="AA19" s="13" t="str" cm="1">
        <f t="array" ref="AA19">_xlfn.IFS(H19&gt;30,"high",H19&gt;20,"medium",H19&lt;=20,"low")</f>
        <v>high</v>
      </c>
      <c r="AB19" s="13" t="b">
        <f t="shared" si="3"/>
        <v>1</v>
      </c>
      <c r="AC19" s="13" t="b">
        <f t="shared" si="4"/>
        <v>1</v>
      </c>
    </row>
    <row r="20" spans="1:29">
      <c r="A20" s="10" t="s">
        <v>232</v>
      </c>
      <c r="B20" s="12">
        <v>45870</v>
      </c>
      <c r="C20" s="10" t="s">
        <v>14</v>
      </c>
      <c r="D20" s="10" t="s">
        <v>226</v>
      </c>
      <c r="E20" s="10" t="s">
        <v>8</v>
      </c>
      <c r="F20" s="13">
        <v>45.51</v>
      </c>
      <c r="G20" s="13">
        <v>11.19</v>
      </c>
      <c r="H20" s="13">
        <f t="shared" si="0"/>
        <v>56.699999999999996</v>
      </c>
      <c r="I20" s="13">
        <f t="shared" si="1"/>
        <v>33.945</v>
      </c>
      <c r="J20" s="13"/>
      <c r="K20" s="13"/>
      <c r="L20" s="13"/>
      <c r="M20" s="13"/>
      <c r="N20" s="13"/>
      <c r="O20" s="13"/>
      <c r="P20" s="13"/>
      <c r="Q20" s="13"/>
      <c r="R20" s="13"/>
      <c r="S20" s="13"/>
      <c r="T20" s="13"/>
      <c r="U20" s="13"/>
      <c r="V20" s="13"/>
      <c r="W20" s="13"/>
      <c r="X20" s="13"/>
      <c r="Y20" s="13"/>
      <c r="Z20" s="13" t="str">
        <f t="shared" si="2"/>
        <v>high</v>
      </c>
      <c r="AA20" s="13" t="str" cm="1">
        <f t="array" ref="AA20">_xlfn.IFS(H20&gt;30,"high",H20&gt;20,"medium",H20&lt;=20,"low")</f>
        <v>high</v>
      </c>
      <c r="AB20" s="13" t="b">
        <f t="shared" si="3"/>
        <v>0</v>
      </c>
      <c r="AC20" s="13" t="b">
        <f t="shared" si="4"/>
        <v>1</v>
      </c>
    </row>
    <row r="21" spans="1:29">
      <c r="A21" s="10" t="s">
        <v>233</v>
      </c>
      <c r="B21" s="12">
        <v>45966</v>
      </c>
      <c r="C21" s="10" t="s">
        <v>14</v>
      </c>
      <c r="D21" s="10" t="s">
        <v>226</v>
      </c>
      <c r="E21" s="10" t="s">
        <v>8</v>
      </c>
      <c r="F21" s="13">
        <v>26.05</v>
      </c>
      <c r="G21" s="13">
        <v>1.82</v>
      </c>
      <c r="H21" s="13">
        <f t="shared" si="0"/>
        <v>27.87</v>
      </c>
      <c r="I21" s="13">
        <f t="shared" si="1"/>
        <v>14.845000000000001</v>
      </c>
      <c r="J21" s="13"/>
      <c r="K21" s="13"/>
      <c r="L21" s="13"/>
      <c r="M21" s="13"/>
      <c r="N21" s="13"/>
      <c r="O21" s="13"/>
      <c r="P21" s="13"/>
      <c r="Q21" s="13"/>
      <c r="R21" s="13"/>
      <c r="S21" s="13"/>
      <c r="T21" s="13"/>
      <c r="U21" s="13"/>
      <c r="V21" s="13"/>
      <c r="W21" s="13"/>
      <c r="X21" s="13"/>
      <c r="Y21" s="13"/>
      <c r="Z21" s="13" t="str">
        <f t="shared" si="2"/>
        <v>low</v>
      </c>
      <c r="AA21" s="13" t="str" cm="1">
        <f t="array" ref="AA21">_xlfn.IFS(H21&gt;30,"high",H21&gt;20,"medium",H21&lt;=20,"low")</f>
        <v>medium</v>
      </c>
      <c r="AB21" s="13" t="b">
        <f t="shared" si="3"/>
        <v>1</v>
      </c>
      <c r="AC21" s="13" t="b">
        <f t="shared" si="4"/>
        <v>1</v>
      </c>
    </row>
    <row r="22" spans="1:29">
      <c r="A22" s="10" t="s">
        <v>27</v>
      </c>
      <c r="B22" s="12">
        <v>46219</v>
      </c>
      <c r="C22" s="10" t="s">
        <v>5</v>
      </c>
      <c r="D22" s="10" t="s">
        <v>6</v>
      </c>
      <c r="E22" s="10" t="s">
        <v>15</v>
      </c>
      <c r="F22" s="13">
        <v>2.92</v>
      </c>
      <c r="G22" s="13">
        <v>2.95</v>
      </c>
      <c r="H22" s="13">
        <f t="shared" si="0"/>
        <v>5.87</v>
      </c>
      <c r="I22" s="13">
        <f t="shared" si="1"/>
        <v>4.41</v>
      </c>
      <c r="J22" s="13"/>
      <c r="K22" s="13"/>
      <c r="L22" s="13"/>
      <c r="M22" s="13"/>
      <c r="N22" s="13"/>
      <c r="O22" s="13"/>
      <c r="P22" s="13"/>
      <c r="Q22" s="13"/>
      <c r="R22" s="13"/>
      <c r="S22" s="13"/>
      <c r="T22" s="13"/>
      <c r="U22" s="13"/>
      <c r="V22" s="13"/>
      <c r="W22" s="13"/>
      <c r="X22" s="13"/>
      <c r="Y22" s="13"/>
      <c r="Z22" s="13" t="str">
        <f t="shared" si="2"/>
        <v>low</v>
      </c>
      <c r="AA22" s="13" t="str" cm="1">
        <f t="array" ref="AA22">_xlfn.IFS(H22&gt;30,"high",H22&gt;20,"medium",H22&lt;=20,"low")</f>
        <v>low</v>
      </c>
      <c r="AB22" s="13" t="b">
        <f t="shared" si="3"/>
        <v>0</v>
      </c>
      <c r="AC22" s="13" t="b">
        <f t="shared" si="4"/>
        <v>1</v>
      </c>
    </row>
    <row r="23" spans="1:29">
      <c r="A23" s="10" t="s">
        <v>28</v>
      </c>
      <c r="B23" s="12">
        <v>46158</v>
      </c>
      <c r="C23" s="10" t="s">
        <v>19</v>
      </c>
      <c r="D23" s="10" t="s">
        <v>226</v>
      </c>
      <c r="E23" s="10" t="s">
        <v>15</v>
      </c>
      <c r="F23" s="13">
        <v>7.98</v>
      </c>
      <c r="G23" s="13">
        <v>0.82</v>
      </c>
      <c r="H23" s="13">
        <f t="shared" si="0"/>
        <v>8.8000000000000007</v>
      </c>
      <c r="I23" s="13">
        <f t="shared" si="1"/>
        <v>4.8100000000000005</v>
      </c>
      <c r="J23" s="13"/>
      <c r="K23" s="13"/>
      <c r="L23" s="13"/>
      <c r="M23" s="13"/>
      <c r="N23" s="13"/>
      <c r="O23" s="13"/>
      <c r="P23" s="13"/>
      <c r="Q23" s="13"/>
      <c r="R23" s="13"/>
      <c r="S23" s="13"/>
      <c r="T23" s="13"/>
      <c r="U23" s="13"/>
      <c r="V23" s="13"/>
      <c r="W23" s="13"/>
      <c r="X23" s="13"/>
      <c r="Y23" s="13"/>
      <c r="Z23" s="13" t="str">
        <f t="shared" si="2"/>
        <v>low</v>
      </c>
      <c r="AA23" s="13" t="str" cm="1">
        <f t="array" ref="AA23">_xlfn.IFS(H23&gt;30,"high",H23&gt;20,"medium",H23&lt;=20,"low")</f>
        <v>low</v>
      </c>
      <c r="AB23" s="13" t="b">
        <f t="shared" si="3"/>
        <v>0</v>
      </c>
      <c r="AC23" s="13" t="b">
        <f t="shared" si="4"/>
        <v>1</v>
      </c>
    </row>
    <row r="24" spans="1:29">
      <c r="A24" s="10" t="s">
        <v>29</v>
      </c>
      <c r="B24" s="12">
        <v>46196</v>
      </c>
      <c r="C24" s="10" t="s">
        <v>5</v>
      </c>
      <c r="D24" s="10" t="s">
        <v>6</v>
      </c>
      <c r="E24" s="10" t="s">
        <v>6</v>
      </c>
      <c r="F24" s="13">
        <v>59.1</v>
      </c>
      <c r="G24" s="13">
        <v>4.6399999999999997</v>
      </c>
      <c r="H24" s="13">
        <f t="shared" si="0"/>
        <v>63.74</v>
      </c>
      <c r="I24" s="13">
        <f t="shared" si="1"/>
        <v>34.19</v>
      </c>
      <c r="J24" s="13"/>
      <c r="K24" s="13"/>
      <c r="L24" s="13"/>
      <c r="M24" s="13"/>
      <c r="N24" s="13"/>
      <c r="O24" s="13"/>
      <c r="P24" s="13"/>
      <c r="Q24" s="13"/>
      <c r="R24" s="13"/>
      <c r="S24" s="13"/>
      <c r="T24" s="13"/>
      <c r="U24" s="13"/>
      <c r="V24" s="13"/>
      <c r="W24" s="13"/>
      <c r="X24" s="13"/>
      <c r="Y24" s="13"/>
      <c r="Z24" s="13" t="str">
        <f t="shared" si="2"/>
        <v>high</v>
      </c>
      <c r="AA24" s="13" t="str" cm="1">
        <f t="array" ref="AA24">_xlfn.IFS(H24&gt;30,"high",H24&gt;20,"medium",H24&lt;=20,"low")</f>
        <v>high</v>
      </c>
      <c r="AB24" s="13" t="b">
        <f t="shared" si="3"/>
        <v>0</v>
      </c>
      <c r="AC24" s="13" t="b">
        <f t="shared" si="4"/>
        <v>1</v>
      </c>
    </row>
    <row r="25" spans="1:29">
      <c r="A25" s="10" t="s">
        <v>234</v>
      </c>
      <c r="B25" s="12">
        <v>45989</v>
      </c>
      <c r="C25" s="10" t="s">
        <v>21</v>
      </c>
      <c r="D25" s="10" t="s">
        <v>224</v>
      </c>
      <c r="E25" s="10" t="s">
        <v>15</v>
      </c>
      <c r="F25" s="13">
        <v>45.55</v>
      </c>
      <c r="G25" s="13">
        <v>11.72</v>
      </c>
      <c r="H25" s="13">
        <f t="shared" si="0"/>
        <v>57.269999999999996</v>
      </c>
      <c r="I25" s="13">
        <f t="shared" si="1"/>
        <v>34.494999999999997</v>
      </c>
      <c r="J25" s="13"/>
      <c r="K25" s="13"/>
      <c r="L25" s="13"/>
      <c r="M25" s="13"/>
      <c r="N25" s="13"/>
      <c r="O25" s="13"/>
      <c r="P25" s="13"/>
      <c r="Q25" s="13"/>
      <c r="R25" s="13"/>
      <c r="S25" s="13"/>
      <c r="T25" s="13"/>
      <c r="U25" s="13"/>
      <c r="V25" s="13"/>
      <c r="W25" s="13"/>
      <c r="X25" s="13"/>
      <c r="Y25" s="13"/>
      <c r="Z25" s="13" t="str">
        <f t="shared" si="2"/>
        <v>high</v>
      </c>
      <c r="AA25" s="13" t="str" cm="1">
        <f t="array" ref="AA25">_xlfn.IFS(H25&gt;30,"high",H25&gt;20,"medium",H25&lt;=20,"low")</f>
        <v>high</v>
      </c>
      <c r="AB25" s="13" t="b">
        <f t="shared" si="3"/>
        <v>0</v>
      </c>
      <c r="AC25" s="13" t="b">
        <f t="shared" si="4"/>
        <v>1</v>
      </c>
    </row>
    <row r="26" spans="1:29">
      <c r="A26" s="10" t="s">
        <v>30</v>
      </c>
      <c r="B26" s="12">
        <v>45919</v>
      </c>
      <c r="C26" s="10" t="s">
        <v>5</v>
      </c>
      <c r="D26" s="10" t="s">
        <v>224</v>
      </c>
      <c r="E26" s="10" t="s">
        <v>12</v>
      </c>
      <c r="F26" s="13">
        <v>60.66</v>
      </c>
      <c r="G26" s="13">
        <v>7.84</v>
      </c>
      <c r="H26" s="13">
        <f t="shared" si="0"/>
        <v>68.5</v>
      </c>
      <c r="I26" s="13">
        <f t="shared" si="1"/>
        <v>38.17</v>
      </c>
      <c r="J26" s="13"/>
      <c r="K26" s="13"/>
      <c r="L26" s="13"/>
      <c r="M26" s="13"/>
      <c r="N26" s="13"/>
      <c r="O26" s="13"/>
      <c r="P26" s="13"/>
      <c r="Q26" s="13"/>
      <c r="R26" s="13"/>
      <c r="S26" s="13"/>
      <c r="T26" s="13"/>
      <c r="U26" s="13"/>
      <c r="V26" s="13"/>
      <c r="W26" s="13"/>
      <c r="X26" s="13"/>
      <c r="Y26" s="13"/>
      <c r="Z26" s="13" t="str">
        <f t="shared" si="2"/>
        <v>high</v>
      </c>
      <c r="AA26" s="13" t="str" cm="1">
        <f t="array" ref="AA26">_xlfn.IFS(H26&gt;30,"high",H26&gt;20,"medium",H26&lt;=20,"low")</f>
        <v>high</v>
      </c>
      <c r="AB26" s="13" t="b">
        <f t="shared" si="3"/>
        <v>0</v>
      </c>
      <c r="AC26" s="13" t="b">
        <f t="shared" si="4"/>
        <v>1</v>
      </c>
    </row>
    <row r="27" spans="1:29">
      <c r="A27" s="10" t="s">
        <v>31</v>
      </c>
      <c r="B27" s="12">
        <v>45659</v>
      </c>
      <c r="C27" s="10" t="s">
        <v>19</v>
      </c>
      <c r="D27" s="10" t="s">
        <v>224</v>
      </c>
      <c r="E27" s="10" t="s">
        <v>12</v>
      </c>
      <c r="F27" s="13">
        <v>32.44</v>
      </c>
      <c r="G27" s="13">
        <v>8.06</v>
      </c>
      <c r="H27" s="13">
        <f t="shared" si="0"/>
        <v>40.5</v>
      </c>
      <c r="I27" s="13">
        <f t="shared" si="1"/>
        <v>24.28</v>
      </c>
      <c r="J27" s="13"/>
      <c r="K27" s="13"/>
      <c r="L27" s="13"/>
      <c r="M27" s="13"/>
      <c r="N27" s="13"/>
      <c r="O27" s="13"/>
      <c r="P27" s="13"/>
      <c r="Q27" s="13"/>
      <c r="R27" s="13"/>
      <c r="S27" s="13"/>
      <c r="T27" s="13"/>
      <c r="U27" s="13"/>
      <c r="V27" s="13"/>
      <c r="W27" s="13"/>
      <c r="X27" s="13"/>
      <c r="Y27" s="13"/>
      <c r="Z27" s="13" t="str">
        <f t="shared" si="2"/>
        <v>high</v>
      </c>
      <c r="AA27" s="13" t="str" cm="1">
        <f t="array" ref="AA27">_xlfn.IFS(H27&gt;30,"high",H27&gt;20,"medium",H27&lt;=20,"low")</f>
        <v>high</v>
      </c>
      <c r="AB27" s="13" t="b">
        <f t="shared" si="3"/>
        <v>1</v>
      </c>
      <c r="AC27" s="13" t="b">
        <f t="shared" si="4"/>
        <v>1</v>
      </c>
    </row>
    <row r="28" spans="1:29">
      <c r="A28" s="10" t="s">
        <v>32</v>
      </c>
      <c r="B28" s="12">
        <v>45864</v>
      </c>
      <c r="C28" s="10" t="s">
        <v>5</v>
      </c>
      <c r="D28" s="10" t="s">
        <v>226</v>
      </c>
      <c r="E28" s="10" t="s">
        <v>8</v>
      </c>
      <c r="F28" s="13">
        <v>43.16</v>
      </c>
      <c r="G28" s="13">
        <v>2.48</v>
      </c>
      <c r="H28" s="13">
        <f t="shared" si="0"/>
        <v>45.639999999999993</v>
      </c>
      <c r="I28" s="13">
        <f t="shared" si="1"/>
        <v>24.059999999999995</v>
      </c>
      <c r="J28" s="13"/>
      <c r="K28" s="13"/>
      <c r="L28" s="13"/>
      <c r="M28" s="13"/>
      <c r="N28" s="13"/>
      <c r="O28" s="13"/>
      <c r="P28" s="13"/>
      <c r="Q28" s="13"/>
      <c r="R28" s="13"/>
      <c r="S28" s="13"/>
      <c r="T28" s="13"/>
      <c r="U28" s="13"/>
      <c r="V28" s="13"/>
      <c r="W28" s="13"/>
      <c r="X28" s="13"/>
      <c r="Y28" s="13"/>
      <c r="Z28" s="13" t="str">
        <f t="shared" si="2"/>
        <v>high</v>
      </c>
      <c r="AA28" s="13" t="str" cm="1">
        <f t="array" ref="AA28">_xlfn.IFS(H28&gt;30,"high",H28&gt;20,"medium",H28&lt;=20,"low")</f>
        <v>high</v>
      </c>
      <c r="AB28" s="13" t="b">
        <f t="shared" si="3"/>
        <v>1</v>
      </c>
      <c r="AC28" s="13" t="b">
        <f t="shared" si="4"/>
        <v>1</v>
      </c>
    </row>
    <row r="29" spans="1:29">
      <c r="A29" s="10" t="s">
        <v>235</v>
      </c>
      <c r="B29" s="12">
        <v>46185</v>
      </c>
      <c r="C29" s="10" t="s">
        <v>5</v>
      </c>
      <c r="D29" s="10" t="s">
        <v>226</v>
      </c>
      <c r="E29" s="10" t="s">
        <v>8</v>
      </c>
      <c r="F29" s="13">
        <v>7.23</v>
      </c>
      <c r="G29" s="13">
        <v>4.47</v>
      </c>
      <c r="H29" s="13">
        <f t="shared" si="0"/>
        <v>11.7</v>
      </c>
      <c r="I29" s="13">
        <f t="shared" si="1"/>
        <v>8.0849999999999991</v>
      </c>
      <c r="J29" s="13"/>
      <c r="K29" s="13"/>
      <c r="L29" s="13"/>
      <c r="M29" s="13"/>
      <c r="N29" s="13"/>
      <c r="O29" s="13"/>
      <c r="P29" s="13"/>
      <c r="Q29" s="13"/>
      <c r="R29" s="13"/>
      <c r="S29" s="13"/>
      <c r="T29" s="13"/>
      <c r="U29" s="13"/>
      <c r="V29" s="13"/>
      <c r="W29" s="13"/>
      <c r="X29" s="13"/>
      <c r="Y29" s="13"/>
      <c r="Z29" s="13" t="str">
        <f t="shared" si="2"/>
        <v>low</v>
      </c>
      <c r="AA29" s="13" t="str" cm="1">
        <f t="array" ref="AA29">_xlfn.IFS(H29&gt;30,"high",H29&gt;20,"medium",H29&lt;=20,"low")</f>
        <v>low</v>
      </c>
      <c r="AB29" s="13" t="b">
        <f t="shared" si="3"/>
        <v>0</v>
      </c>
      <c r="AC29" s="13" t="b">
        <f t="shared" si="4"/>
        <v>1</v>
      </c>
    </row>
    <row r="30" spans="1:29">
      <c r="A30" s="10" t="s">
        <v>33</v>
      </c>
      <c r="B30" s="12">
        <v>45796</v>
      </c>
      <c r="C30" s="10" t="s">
        <v>5</v>
      </c>
      <c r="D30" s="10" t="s">
        <v>224</v>
      </c>
      <c r="E30" s="10" t="s">
        <v>8</v>
      </c>
      <c r="F30" s="13">
        <v>3.05</v>
      </c>
      <c r="G30" s="13">
        <v>4.53</v>
      </c>
      <c r="H30" s="13">
        <f t="shared" si="0"/>
        <v>7.58</v>
      </c>
      <c r="I30" s="13">
        <f t="shared" si="1"/>
        <v>6.0549999999999997</v>
      </c>
      <c r="J30" s="13"/>
      <c r="K30" s="13"/>
      <c r="L30" s="13"/>
      <c r="M30" s="13"/>
      <c r="N30" s="13"/>
      <c r="O30" s="13"/>
      <c r="P30" s="13"/>
      <c r="Q30" s="13"/>
      <c r="R30" s="13"/>
      <c r="S30" s="13"/>
      <c r="T30" s="13"/>
      <c r="U30" s="13"/>
      <c r="V30" s="13"/>
      <c r="W30" s="13"/>
      <c r="X30" s="13"/>
      <c r="Y30" s="13"/>
      <c r="Z30" s="13" t="str">
        <f t="shared" si="2"/>
        <v>low</v>
      </c>
      <c r="AA30" s="13" t="str" cm="1">
        <f t="array" ref="AA30">_xlfn.IFS(H30&gt;30,"high",H30&gt;20,"medium",H30&lt;=20,"low")</f>
        <v>low</v>
      </c>
      <c r="AB30" s="13" t="b">
        <f t="shared" si="3"/>
        <v>0</v>
      </c>
      <c r="AC30" s="13" t="b">
        <f t="shared" si="4"/>
        <v>1</v>
      </c>
    </row>
    <row r="31" spans="1:29">
      <c r="A31" s="10" t="s">
        <v>236</v>
      </c>
      <c r="B31" s="12">
        <v>45759</v>
      </c>
      <c r="C31" s="10" t="s">
        <v>19</v>
      </c>
      <c r="D31" s="10" t="s">
        <v>226</v>
      </c>
      <c r="E31" s="10" t="s">
        <v>12</v>
      </c>
      <c r="F31" s="13">
        <v>9</v>
      </c>
      <c r="G31" s="13">
        <v>7.83</v>
      </c>
      <c r="H31" s="13">
        <f t="shared" si="0"/>
        <v>16.829999999999998</v>
      </c>
      <c r="I31" s="13">
        <f t="shared" si="1"/>
        <v>12.329999999999998</v>
      </c>
      <c r="J31" s="13"/>
      <c r="K31" s="13"/>
      <c r="L31" s="13"/>
      <c r="M31" s="13"/>
      <c r="N31" s="13"/>
      <c r="O31" s="13"/>
      <c r="P31" s="13"/>
      <c r="Q31" s="13"/>
      <c r="R31" s="13"/>
      <c r="S31" s="13"/>
      <c r="T31" s="13"/>
      <c r="U31" s="13"/>
      <c r="V31" s="13"/>
      <c r="W31" s="13"/>
      <c r="X31" s="13"/>
      <c r="Y31" s="13"/>
      <c r="Z31" s="13" t="str">
        <f t="shared" si="2"/>
        <v>low</v>
      </c>
      <c r="AA31" s="13" t="str" cm="1">
        <f t="array" ref="AA31">_xlfn.IFS(H31&gt;30,"high",H31&gt;20,"medium",H31&lt;=20,"low")</f>
        <v>low</v>
      </c>
      <c r="AB31" s="13" t="b">
        <f t="shared" si="3"/>
        <v>1</v>
      </c>
      <c r="AC31" s="13" t="b">
        <f t="shared" si="4"/>
        <v>1</v>
      </c>
    </row>
    <row r="32" spans="1:29">
      <c r="A32" s="10" t="s">
        <v>34</v>
      </c>
      <c r="B32" s="12">
        <v>45919</v>
      </c>
      <c r="C32" s="10" t="s">
        <v>237</v>
      </c>
      <c r="D32" s="10" t="s">
        <v>224</v>
      </c>
      <c r="E32" s="10" t="s">
        <v>15</v>
      </c>
      <c r="F32" s="13">
        <v>42.89</v>
      </c>
      <c r="G32" s="13">
        <v>4.78</v>
      </c>
      <c r="H32" s="13">
        <f t="shared" si="0"/>
        <v>47.67</v>
      </c>
      <c r="I32" s="13">
        <f t="shared" si="1"/>
        <v>26.225000000000001</v>
      </c>
      <c r="J32" s="13"/>
      <c r="K32" s="13"/>
      <c r="L32" s="13"/>
      <c r="M32" s="13"/>
      <c r="N32" s="13"/>
      <c r="O32" s="13"/>
      <c r="P32" s="13"/>
      <c r="Q32" s="13"/>
      <c r="R32" s="13"/>
      <c r="S32" s="13"/>
      <c r="T32" s="13"/>
      <c r="U32" s="13"/>
      <c r="V32" s="13"/>
      <c r="W32" s="13"/>
      <c r="X32" s="13"/>
      <c r="Y32" s="13"/>
      <c r="Z32" s="13" t="str">
        <f t="shared" si="2"/>
        <v>high</v>
      </c>
      <c r="AA32" s="13" t="str" cm="1">
        <f t="array" ref="AA32">_xlfn.IFS(H32&gt;30,"high",H32&gt;20,"medium",H32&lt;=20,"low")</f>
        <v>high</v>
      </c>
      <c r="AB32" s="13" t="b">
        <f t="shared" si="3"/>
        <v>1</v>
      </c>
      <c r="AC32" s="13" t="b">
        <f t="shared" si="4"/>
        <v>1</v>
      </c>
    </row>
    <row r="33" spans="1:29">
      <c r="A33" s="10" t="s">
        <v>238</v>
      </c>
      <c r="B33" s="12">
        <v>46191</v>
      </c>
      <c r="C33" s="10" t="s">
        <v>5</v>
      </c>
      <c r="D33" s="10" t="s">
        <v>6</v>
      </c>
      <c r="E33" s="10" t="s">
        <v>12</v>
      </c>
      <c r="F33" s="13">
        <v>27.07</v>
      </c>
      <c r="G33" s="13">
        <v>2.6</v>
      </c>
      <c r="H33" s="13">
        <f t="shared" si="0"/>
        <v>29.67</v>
      </c>
      <c r="I33" s="13">
        <f t="shared" si="1"/>
        <v>16.135000000000002</v>
      </c>
      <c r="J33" s="13"/>
      <c r="K33" s="13"/>
      <c r="L33" s="13"/>
      <c r="M33" s="13"/>
      <c r="N33" s="13"/>
      <c r="O33" s="13"/>
      <c r="P33" s="13"/>
      <c r="Q33" s="13"/>
      <c r="R33" s="13"/>
      <c r="S33" s="13"/>
      <c r="T33" s="13"/>
      <c r="U33" s="13"/>
      <c r="V33" s="13"/>
      <c r="W33" s="13"/>
      <c r="X33" s="13"/>
      <c r="Y33" s="13"/>
      <c r="Z33" s="13" t="str">
        <f t="shared" si="2"/>
        <v>low</v>
      </c>
      <c r="AA33" s="13" t="str" cm="1">
        <f t="array" ref="AA33">_xlfn.IFS(H33&gt;30,"high",H33&gt;20,"medium",H33&lt;=20,"low")</f>
        <v>medium</v>
      </c>
      <c r="AB33" s="13" t="b">
        <f t="shared" si="3"/>
        <v>1</v>
      </c>
      <c r="AC33" s="13" t="b">
        <f t="shared" si="4"/>
        <v>1</v>
      </c>
    </row>
    <row r="34" spans="1:29">
      <c r="A34" s="10" t="s">
        <v>35</v>
      </c>
      <c r="B34" s="12">
        <v>46145</v>
      </c>
      <c r="C34" s="10" t="s">
        <v>9</v>
      </c>
      <c r="D34" s="10" t="s">
        <v>6</v>
      </c>
      <c r="E34" s="10" t="s">
        <v>12</v>
      </c>
      <c r="F34" s="13">
        <v>19.510000000000002</v>
      </c>
      <c r="G34" s="13">
        <v>2.23</v>
      </c>
      <c r="H34" s="13">
        <f t="shared" si="0"/>
        <v>21.740000000000002</v>
      </c>
      <c r="I34" s="13">
        <f t="shared" si="1"/>
        <v>11.985000000000001</v>
      </c>
      <c r="J34" s="13"/>
      <c r="K34" s="13"/>
      <c r="L34" s="13"/>
      <c r="M34" s="13"/>
      <c r="N34" s="13"/>
      <c r="O34" s="13"/>
      <c r="P34" s="13"/>
      <c r="Q34" s="13"/>
      <c r="R34" s="13"/>
      <c r="S34" s="13"/>
      <c r="T34" s="13"/>
      <c r="U34" s="13"/>
      <c r="V34" s="13"/>
      <c r="W34" s="13"/>
      <c r="X34" s="13"/>
      <c r="Y34" s="13"/>
      <c r="Z34" s="13" t="str">
        <f t="shared" si="2"/>
        <v>low</v>
      </c>
      <c r="AA34" s="13" t="str" cm="1">
        <f t="array" ref="AA34">_xlfn.IFS(H34&gt;30,"high",H34&gt;20,"medium",H34&lt;=20,"low")</f>
        <v>medium</v>
      </c>
      <c r="AB34" s="13" t="b">
        <f t="shared" si="3"/>
        <v>1</v>
      </c>
      <c r="AC34" s="13" t="b">
        <f t="shared" si="4"/>
        <v>1</v>
      </c>
    </row>
    <row r="35" spans="1:29">
      <c r="A35" s="10" t="s">
        <v>36</v>
      </c>
      <c r="B35" s="12">
        <v>45828</v>
      </c>
      <c r="C35" s="10" t="s">
        <v>5</v>
      </c>
      <c r="D35" s="10" t="s">
        <v>226</v>
      </c>
      <c r="E35" s="10" t="s">
        <v>12</v>
      </c>
      <c r="F35" s="13">
        <v>24.41</v>
      </c>
      <c r="G35" s="13">
        <v>3.37</v>
      </c>
      <c r="H35" s="13">
        <f t="shared" si="0"/>
        <v>27.78</v>
      </c>
      <c r="I35" s="13">
        <f t="shared" si="1"/>
        <v>15.575000000000001</v>
      </c>
      <c r="J35" s="13"/>
      <c r="K35" s="13"/>
      <c r="L35" s="13"/>
      <c r="M35" s="13"/>
      <c r="N35" s="13"/>
      <c r="O35" s="13"/>
      <c r="P35" s="13"/>
      <c r="Q35" s="13"/>
      <c r="R35" s="13"/>
      <c r="S35" s="13"/>
      <c r="T35" s="13"/>
      <c r="U35" s="13"/>
      <c r="V35" s="13"/>
      <c r="W35" s="13"/>
      <c r="X35" s="13"/>
      <c r="Y35" s="13"/>
      <c r="Z35" s="13" t="str">
        <f t="shared" si="2"/>
        <v>low</v>
      </c>
      <c r="AA35" s="13" t="str" cm="1">
        <f t="array" ref="AA35">_xlfn.IFS(H35&gt;30,"high",H35&gt;20,"medium",H35&lt;=20,"low")</f>
        <v>medium</v>
      </c>
      <c r="AB35" s="13" t="b">
        <f t="shared" si="3"/>
        <v>1</v>
      </c>
      <c r="AC35" s="13" t="b">
        <f t="shared" si="4"/>
        <v>1</v>
      </c>
    </row>
    <row r="36" spans="1:29">
      <c r="A36" s="10" t="s">
        <v>239</v>
      </c>
      <c r="B36" s="12">
        <v>46024</v>
      </c>
      <c r="C36" s="10" t="s">
        <v>21</v>
      </c>
      <c r="D36" s="10" t="s">
        <v>226</v>
      </c>
      <c r="E36" s="10" t="s">
        <v>15</v>
      </c>
      <c r="F36" s="13">
        <v>20</v>
      </c>
      <c r="G36" s="13">
        <v>11.33</v>
      </c>
      <c r="H36" s="13">
        <f t="shared" si="0"/>
        <v>31.33</v>
      </c>
      <c r="I36" s="13">
        <f t="shared" si="1"/>
        <v>21.33</v>
      </c>
      <c r="J36" s="13"/>
      <c r="K36" s="13"/>
      <c r="L36" s="13"/>
      <c r="M36" s="13"/>
      <c r="N36" s="13"/>
      <c r="O36" s="13"/>
      <c r="P36" s="13"/>
      <c r="Q36" s="13"/>
      <c r="R36" s="13"/>
      <c r="S36" s="13"/>
      <c r="T36" s="13"/>
      <c r="U36" s="13"/>
      <c r="V36" s="13"/>
      <c r="W36" s="13"/>
      <c r="X36" s="13"/>
      <c r="Y36" s="13"/>
      <c r="Z36" s="13" t="str">
        <f t="shared" si="2"/>
        <v>high</v>
      </c>
      <c r="AA36" s="13" t="str" cm="1">
        <f t="array" ref="AA36">_xlfn.IFS(H36&gt;30,"high",H36&gt;20,"medium",H36&lt;=20,"low")</f>
        <v>high</v>
      </c>
      <c r="AB36" s="13" t="b">
        <f t="shared" si="3"/>
        <v>1</v>
      </c>
      <c r="AC36" s="13" t="b">
        <f t="shared" si="4"/>
        <v>1</v>
      </c>
    </row>
    <row r="37" spans="1:29">
      <c r="A37" s="10" t="s">
        <v>37</v>
      </c>
      <c r="B37" s="12">
        <v>45722</v>
      </c>
      <c r="C37" s="10" t="s">
        <v>19</v>
      </c>
      <c r="D37" s="10" t="s">
        <v>226</v>
      </c>
      <c r="E37" s="10" t="s">
        <v>8</v>
      </c>
      <c r="F37" s="13">
        <v>18.079999999999998</v>
      </c>
      <c r="G37" s="13">
        <v>1.41</v>
      </c>
      <c r="H37" s="13">
        <f t="shared" si="0"/>
        <v>19.489999999999998</v>
      </c>
      <c r="I37" s="13">
        <f t="shared" si="1"/>
        <v>10.45</v>
      </c>
      <c r="J37" s="13"/>
      <c r="K37" s="13"/>
      <c r="L37" s="13"/>
      <c r="M37" s="13"/>
      <c r="N37" s="13"/>
      <c r="O37" s="13"/>
      <c r="P37" s="13"/>
      <c r="Q37" s="13"/>
      <c r="R37" s="13"/>
      <c r="S37" s="13"/>
      <c r="T37" s="13"/>
      <c r="U37" s="13"/>
      <c r="V37" s="13"/>
      <c r="W37" s="13"/>
      <c r="X37" s="13"/>
      <c r="Y37" s="13"/>
      <c r="Z37" s="13" t="str">
        <f t="shared" si="2"/>
        <v>low</v>
      </c>
      <c r="AA37" s="13" t="str" cm="1">
        <f t="array" ref="AA37">_xlfn.IFS(H37&gt;30,"high",H37&gt;20,"medium",H37&lt;=20,"low")</f>
        <v>low</v>
      </c>
      <c r="AB37" s="13" t="b">
        <f t="shared" si="3"/>
        <v>1</v>
      </c>
      <c r="AC37" s="13" t="b">
        <f t="shared" si="4"/>
        <v>1</v>
      </c>
    </row>
    <row r="38" spans="1:29">
      <c r="A38" s="10" t="s">
        <v>38</v>
      </c>
      <c r="B38" s="12">
        <v>46059</v>
      </c>
      <c r="C38" s="10" t="s">
        <v>14</v>
      </c>
      <c r="D38" s="10" t="s">
        <v>6</v>
      </c>
      <c r="E38" s="10" t="s">
        <v>8</v>
      </c>
      <c r="F38" s="13">
        <v>9.57</v>
      </c>
      <c r="G38" s="13">
        <v>1.99</v>
      </c>
      <c r="H38" s="13">
        <f t="shared" si="0"/>
        <v>11.56</v>
      </c>
      <c r="I38" s="13">
        <f t="shared" si="1"/>
        <v>6.7750000000000004</v>
      </c>
      <c r="J38" s="13"/>
      <c r="K38" s="13"/>
      <c r="L38" s="13"/>
      <c r="M38" s="13"/>
      <c r="N38" s="13"/>
      <c r="O38" s="13"/>
      <c r="P38" s="13"/>
      <c r="Q38" s="13"/>
      <c r="R38" s="13"/>
      <c r="S38" s="13"/>
      <c r="T38" s="13"/>
      <c r="U38" s="13"/>
      <c r="V38" s="13"/>
      <c r="W38" s="13"/>
      <c r="X38" s="13"/>
      <c r="Y38" s="13"/>
      <c r="Z38" s="13" t="str">
        <f t="shared" si="2"/>
        <v>low</v>
      </c>
      <c r="AA38" s="13" t="str" cm="1">
        <f t="array" ref="AA38">_xlfn.IFS(H38&gt;30,"high",H38&gt;20,"medium",H38&lt;=20,"low")</f>
        <v>low</v>
      </c>
      <c r="AB38" s="13" t="b">
        <f t="shared" si="3"/>
        <v>0</v>
      </c>
      <c r="AC38" s="13" t="b">
        <f t="shared" si="4"/>
        <v>1</v>
      </c>
    </row>
    <row r="39" spans="1:29">
      <c r="A39" s="10" t="s">
        <v>39</v>
      </c>
      <c r="B39" s="12">
        <v>45958</v>
      </c>
      <c r="C39" s="10" t="s">
        <v>5</v>
      </c>
      <c r="D39" s="10" t="s">
        <v>226</v>
      </c>
      <c r="E39" s="10" t="s">
        <v>15</v>
      </c>
      <c r="F39" s="13">
        <v>40.69</v>
      </c>
      <c r="G39" s="13">
        <v>6.45</v>
      </c>
      <c r="H39" s="13">
        <f t="shared" si="0"/>
        <v>47.14</v>
      </c>
      <c r="I39" s="13">
        <f t="shared" si="1"/>
        <v>26.795000000000002</v>
      </c>
      <c r="J39" s="13"/>
      <c r="K39" s="13"/>
      <c r="L39" s="13"/>
      <c r="M39" s="13"/>
      <c r="N39" s="13"/>
      <c r="O39" s="13"/>
      <c r="P39" s="13"/>
      <c r="Q39" s="13"/>
      <c r="R39" s="13"/>
      <c r="S39" s="13"/>
      <c r="T39" s="13"/>
      <c r="U39" s="13"/>
      <c r="V39" s="13"/>
      <c r="W39" s="13"/>
      <c r="X39" s="13"/>
      <c r="Y39" s="13"/>
      <c r="Z39" s="13" t="str">
        <f t="shared" si="2"/>
        <v>high</v>
      </c>
      <c r="AA39" s="13" t="str" cm="1">
        <f t="array" ref="AA39">_xlfn.IFS(H39&gt;30,"high",H39&gt;20,"medium",H39&lt;=20,"low")</f>
        <v>high</v>
      </c>
      <c r="AB39" s="13" t="b">
        <f t="shared" si="3"/>
        <v>1</v>
      </c>
      <c r="AC39" s="13" t="b">
        <f t="shared" si="4"/>
        <v>1</v>
      </c>
    </row>
    <row r="40" spans="1:29">
      <c r="A40" s="10" t="s">
        <v>40</v>
      </c>
      <c r="B40" s="12">
        <v>46002</v>
      </c>
      <c r="C40" s="10" t="s">
        <v>21</v>
      </c>
      <c r="D40" s="10" t="s">
        <v>226</v>
      </c>
      <c r="E40" s="10" t="s">
        <v>15</v>
      </c>
      <c r="F40" s="13">
        <v>39</v>
      </c>
      <c r="G40" s="13">
        <v>7.8</v>
      </c>
      <c r="H40" s="13">
        <f t="shared" si="0"/>
        <v>46.8</v>
      </c>
      <c r="I40" s="13">
        <f t="shared" si="1"/>
        <v>27.299999999999997</v>
      </c>
      <c r="J40" s="13"/>
      <c r="K40" s="13"/>
      <c r="L40" s="13"/>
      <c r="M40" s="13"/>
      <c r="N40" s="13"/>
      <c r="O40" s="13"/>
      <c r="P40" s="13"/>
      <c r="Q40" s="13"/>
      <c r="R40" s="13"/>
      <c r="S40" s="13"/>
      <c r="T40" s="13"/>
      <c r="U40" s="13"/>
      <c r="V40" s="13"/>
      <c r="W40" s="13"/>
      <c r="X40" s="13"/>
      <c r="Y40" s="13"/>
      <c r="Z40" s="13" t="str">
        <f t="shared" si="2"/>
        <v>high</v>
      </c>
      <c r="AA40" s="13" t="str" cm="1">
        <f t="array" ref="AA40">_xlfn.IFS(H40&gt;30,"high",H40&gt;20,"medium",H40&lt;=20,"low")</f>
        <v>high</v>
      </c>
      <c r="AB40" s="13" t="b">
        <f t="shared" si="3"/>
        <v>1</v>
      </c>
      <c r="AC40" s="13" t="b">
        <f t="shared" si="4"/>
        <v>1</v>
      </c>
    </row>
    <row r="41" spans="1:29">
      <c r="A41" s="10" t="s">
        <v>31</v>
      </c>
      <c r="B41" s="12">
        <v>46153</v>
      </c>
      <c r="C41" s="10" t="s">
        <v>9</v>
      </c>
      <c r="D41" s="10" t="s">
        <v>224</v>
      </c>
      <c r="E41" s="10" t="s">
        <v>12</v>
      </c>
      <c r="F41" s="13">
        <v>22.68</v>
      </c>
      <c r="G41" s="13">
        <v>7.07</v>
      </c>
      <c r="H41" s="13">
        <f t="shared" si="0"/>
        <v>29.75</v>
      </c>
      <c r="I41" s="13">
        <f t="shared" si="1"/>
        <v>18.41</v>
      </c>
      <c r="J41" s="13"/>
      <c r="K41" s="13"/>
      <c r="L41" s="13"/>
      <c r="M41" s="13"/>
      <c r="N41" s="13"/>
      <c r="O41" s="13"/>
      <c r="P41" s="13"/>
      <c r="Q41" s="13"/>
      <c r="R41" s="13"/>
      <c r="S41" s="13"/>
      <c r="T41" s="13"/>
      <c r="U41" s="13"/>
      <c r="V41" s="13"/>
      <c r="W41" s="13"/>
      <c r="X41" s="13"/>
      <c r="Y41" s="13"/>
      <c r="Z41" s="13" t="str">
        <f t="shared" si="2"/>
        <v>low</v>
      </c>
      <c r="AA41" s="13" t="str" cm="1">
        <f t="array" ref="AA41">_xlfn.IFS(H41&gt;30,"high",H41&gt;20,"medium",H41&lt;=20,"low")</f>
        <v>medium</v>
      </c>
      <c r="AB41" s="13" t="b">
        <f t="shared" si="3"/>
        <v>1</v>
      </c>
      <c r="AC41" s="13" t="b">
        <f t="shared" si="4"/>
        <v>1</v>
      </c>
    </row>
    <row r="42" spans="1:29">
      <c r="A42" s="10" t="s">
        <v>41</v>
      </c>
      <c r="B42" s="12">
        <v>46160</v>
      </c>
      <c r="C42" s="10" t="s">
        <v>5</v>
      </c>
      <c r="D42" s="10" t="s">
        <v>6</v>
      </c>
      <c r="E42" s="10" t="s">
        <v>12</v>
      </c>
      <c r="F42" s="13">
        <v>20.91</v>
      </c>
      <c r="G42" s="13">
        <v>6.63</v>
      </c>
      <c r="H42" s="13">
        <f t="shared" si="0"/>
        <v>27.54</v>
      </c>
      <c r="I42" s="13">
        <f t="shared" si="1"/>
        <v>17.085000000000001</v>
      </c>
      <c r="J42" s="13"/>
      <c r="K42" s="13"/>
      <c r="L42" s="13"/>
      <c r="M42" s="13"/>
      <c r="N42" s="13"/>
      <c r="O42" s="13"/>
      <c r="P42" s="13"/>
      <c r="Q42" s="13"/>
      <c r="R42" s="13"/>
      <c r="S42" s="13"/>
      <c r="T42" s="13"/>
      <c r="U42" s="13"/>
      <c r="V42" s="13"/>
      <c r="W42" s="13"/>
      <c r="X42" s="13"/>
      <c r="Y42" s="13"/>
      <c r="Z42" s="13" t="str">
        <f t="shared" si="2"/>
        <v>low</v>
      </c>
      <c r="AA42" s="13" t="str" cm="1">
        <f t="array" ref="AA42">_xlfn.IFS(H42&gt;30,"high",H42&gt;20,"medium",H42&lt;=20,"low")</f>
        <v>medium</v>
      </c>
      <c r="AB42" s="13" t="b">
        <f t="shared" si="3"/>
        <v>1</v>
      </c>
      <c r="AC42" s="13" t="b">
        <f t="shared" si="4"/>
        <v>1</v>
      </c>
    </row>
    <row r="43" spans="1:29">
      <c r="A43" s="10" t="s">
        <v>240</v>
      </c>
      <c r="B43" s="12">
        <v>46196</v>
      </c>
      <c r="C43" s="10" t="s">
        <v>5</v>
      </c>
      <c r="D43" s="10" t="s">
        <v>226</v>
      </c>
      <c r="E43" s="10" t="s">
        <v>15</v>
      </c>
      <c r="F43" s="13">
        <v>32.380000000000003</v>
      </c>
      <c r="G43" s="13">
        <v>8.66</v>
      </c>
      <c r="H43" s="13">
        <f t="shared" si="0"/>
        <v>41.040000000000006</v>
      </c>
      <c r="I43" s="13">
        <f t="shared" si="1"/>
        <v>24.85</v>
      </c>
      <c r="J43" s="13"/>
      <c r="K43" s="13"/>
      <c r="L43" s="13"/>
      <c r="M43" s="13"/>
      <c r="N43" s="13"/>
      <c r="O43" s="13"/>
      <c r="P43" s="13"/>
      <c r="Q43" s="13"/>
      <c r="R43" s="13"/>
      <c r="S43" s="13"/>
      <c r="T43" s="13"/>
      <c r="U43" s="13"/>
      <c r="V43" s="13"/>
      <c r="W43" s="13"/>
      <c r="X43" s="13"/>
      <c r="Y43" s="13"/>
      <c r="Z43" s="13" t="str">
        <f t="shared" si="2"/>
        <v>high</v>
      </c>
      <c r="AA43" s="13" t="str" cm="1">
        <f t="array" ref="AA43">_xlfn.IFS(H43&gt;30,"high",H43&gt;20,"medium",H43&lt;=20,"low")</f>
        <v>high</v>
      </c>
      <c r="AB43" s="13" t="b">
        <f t="shared" si="3"/>
        <v>1</v>
      </c>
      <c r="AC43" s="13" t="b">
        <f t="shared" si="4"/>
        <v>1</v>
      </c>
    </row>
    <row r="44" spans="1:29">
      <c r="A44" s="10" t="s">
        <v>241</v>
      </c>
      <c r="B44" s="12">
        <v>45943</v>
      </c>
      <c r="C44" s="10" t="s">
        <v>14</v>
      </c>
      <c r="D44" s="10" t="s">
        <v>226</v>
      </c>
      <c r="E44" s="10" t="s">
        <v>15</v>
      </c>
      <c r="F44" s="13">
        <v>4.96</v>
      </c>
      <c r="G44" s="13">
        <v>9.59</v>
      </c>
      <c r="H44" s="13">
        <f t="shared" si="0"/>
        <v>14.55</v>
      </c>
      <c r="I44" s="13">
        <f t="shared" si="1"/>
        <v>12.07</v>
      </c>
      <c r="J44" s="13"/>
      <c r="K44" s="13"/>
      <c r="L44" s="13"/>
      <c r="M44" s="13"/>
      <c r="N44" s="13"/>
      <c r="O44" s="13"/>
      <c r="P44" s="13"/>
      <c r="Q44" s="13"/>
      <c r="R44" s="13"/>
      <c r="S44" s="13"/>
      <c r="T44" s="13"/>
      <c r="U44" s="13"/>
      <c r="V44" s="13"/>
      <c r="W44" s="13"/>
      <c r="X44" s="13"/>
      <c r="Y44" s="13"/>
      <c r="Z44" s="13" t="str">
        <f t="shared" si="2"/>
        <v>low</v>
      </c>
      <c r="AA44" s="13" t="str" cm="1">
        <f t="array" ref="AA44">_xlfn.IFS(H44&gt;30,"high",H44&gt;20,"medium",H44&lt;=20,"low")</f>
        <v>low</v>
      </c>
      <c r="AB44" s="13" t="b">
        <f t="shared" si="3"/>
        <v>1</v>
      </c>
      <c r="AC44" s="13" t="b">
        <f t="shared" si="4"/>
        <v>1</v>
      </c>
    </row>
    <row r="45" spans="1:29">
      <c r="A45" s="10" t="s">
        <v>42</v>
      </c>
      <c r="B45" s="12">
        <v>46025</v>
      </c>
      <c r="C45" s="10" t="s">
        <v>7</v>
      </c>
      <c r="D45" s="10" t="s">
        <v>226</v>
      </c>
      <c r="E45" s="10" t="s">
        <v>12</v>
      </c>
      <c r="F45" s="13">
        <v>4.28</v>
      </c>
      <c r="G45" s="13">
        <v>1.94</v>
      </c>
      <c r="H45" s="13">
        <f t="shared" si="0"/>
        <v>6.2200000000000006</v>
      </c>
      <c r="I45" s="13">
        <f t="shared" si="1"/>
        <v>4.08</v>
      </c>
      <c r="J45" s="13"/>
      <c r="K45" s="13"/>
      <c r="L45" s="13"/>
      <c r="M45" s="13"/>
      <c r="N45" s="13"/>
      <c r="O45" s="13"/>
      <c r="P45" s="13"/>
      <c r="Q45" s="13"/>
      <c r="R45" s="13"/>
      <c r="S45" s="13"/>
      <c r="T45" s="13"/>
      <c r="U45" s="13"/>
      <c r="V45" s="13"/>
      <c r="W45" s="13"/>
      <c r="X45" s="13"/>
      <c r="Y45" s="13"/>
      <c r="Z45" s="13" t="str">
        <f t="shared" si="2"/>
        <v>low</v>
      </c>
      <c r="AA45" s="13" t="str" cm="1">
        <f t="array" ref="AA45">_xlfn.IFS(H45&gt;30,"high",H45&gt;20,"medium",H45&lt;=20,"low")</f>
        <v>low</v>
      </c>
      <c r="AB45" s="13" t="b">
        <f t="shared" si="3"/>
        <v>0</v>
      </c>
      <c r="AC45" s="13" t="b">
        <f t="shared" si="4"/>
        <v>1</v>
      </c>
    </row>
    <row r="46" spans="1:29">
      <c r="A46" s="10" t="s">
        <v>43</v>
      </c>
      <c r="B46" s="12">
        <v>45796</v>
      </c>
      <c r="C46" s="10" t="s">
        <v>5</v>
      </c>
      <c r="D46" s="10" t="s">
        <v>226</v>
      </c>
      <c r="E46" s="10" t="s">
        <v>8</v>
      </c>
      <c r="F46" s="13">
        <v>9</v>
      </c>
      <c r="G46" s="13">
        <v>4.53</v>
      </c>
      <c r="H46" s="13">
        <f t="shared" si="0"/>
        <v>13.530000000000001</v>
      </c>
      <c r="I46" s="13">
        <f t="shared" si="1"/>
        <v>9.0300000000000011</v>
      </c>
      <c r="J46" s="13"/>
      <c r="K46" s="13"/>
      <c r="L46" s="13"/>
      <c r="M46" s="13"/>
      <c r="N46" s="13"/>
      <c r="O46" s="13"/>
      <c r="P46" s="13"/>
      <c r="Q46" s="13"/>
      <c r="R46" s="13"/>
      <c r="S46" s="13"/>
      <c r="T46" s="13"/>
      <c r="U46" s="13"/>
      <c r="V46" s="13"/>
      <c r="W46" s="13"/>
      <c r="X46" s="13"/>
      <c r="Y46" s="13"/>
      <c r="Z46" s="13" t="str">
        <f t="shared" si="2"/>
        <v>low</v>
      </c>
      <c r="AA46" s="13" t="str" cm="1">
        <f t="array" ref="AA46">_xlfn.IFS(H46&gt;30,"high",H46&gt;20,"medium",H46&lt;=20,"low")</f>
        <v>low</v>
      </c>
      <c r="AB46" s="13" t="b">
        <f t="shared" si="3"/>
        <v>0</v>
      </c>
      <c r="AC46" s="13" t="b">
        <f t="shared" si="4"/>
        <v>1</v>
      </c>
    </row>
    <row r="47" spans="1:29">
      <c r="A47" s="10" t="s">
        <v>242</v>
      </c>
      <c r="B47" s="12">
        <v>45978</v>
      </c>
      <c r="C47" s="10" t="s">
        <v>5</v>
      </c>
      <c r="D47" s="10" t="s">
        <v>226</v>
      </c>
      <c r="E47" s="10" t="s">
        <v>15</v>
      </c>
      <c r="F47" s="13">
        <v>30.37</v>
      </c>
      <c r="G47" s="13">
        <v>11.58</v>
      </c>
      <c r="H47" s="13">
        <f t="shared" si="0"/>
        <v>41.95</v>
      </c>
      <c r="I47" s="13">
        <f t="shared" si="1"/>
        <v>26.765000000000001</v>
      </c>
      <c r="J47" s="13"/>
      <c r="K47" s="13"/>
      <c r="L47" s="13"/>
      <c r="M47" s="13"/>
      <c r="N47" s="13"/>
      <c r="O47" s="13"/>
      <c r="P47" s="13"/>
      <c r="Q47" s="13"/>
      <c r="R47" s="13"/>
      <c r="S47" s="13"/>
      <c r="T47" s="13"/>
      <c r="U47" s="13"/>
      <c r="V47" s="13"/>
      <c r="W47" s="13"/>
      <c r="X47" s="13"/>
      <c r="Y47" s="13"/>
      <c r="Z47" s="13" t="str">
        <f t="shared" si="2"/>
        <v>high</v>
      </c>
      <c r="AA47" s="13" t="str" cm="1">
        <f t="array" ref="AA47">_xlfn.IFS(H47&gt;30,"high",H47&gt;20,"medium",H47&lt;=20,"low")</f>
        <v>high</v>
      </c>
      <c r="AB47" s="13" t="b">
        <f t="shared" si="3"/>
        <v>1</v>
      </c>
      <c r="AC47" s="13" t="b">
        <f t="shared" si="4"/>
        <v>1</v>
      </c>
    </row>
    <row r="48" spans="1:29">
      <c r="A48" s="10" t="s">
        <v>44</v>
      </c>
      <c r="B48" s="12">
        <v>45731</v>
      </c>
      <c r="C48" s="10" t="s">
        <v>5</v>
      </c>
      <c r="D48" s="10" t="s">
        <v>6</v>
      </c>
      <c r="E48" s="10" t="s">
        <v>8</v>
      </c>
      <c r="F48" s="13">
        <v>33.47</v>
      </c>
      <c r="G48" s="13">
        <v>2.89</v>
      </c>
      <c r="H48" s="13">
        <f t="shared" si="0"/>
        <v>36.36</v>
      </c>
      <c r="I48" s="13">
        <f t="shared" si="1"/>
        <v>19.625</v>
      </c>
      <c r="J48" s="13"/>
      <c r="K48" s="13"/>
      <c r="L48" s="13"/>
      <c r="M48" s="13"/>
      <c r="N48" s="13"/>
      <c r="O48" s="13"/>
      <c r="P48" s="13"/>
      <c r="Q48" s="13"/>
      <c r="R48" s="13"/>
      <c r="S48" s="13"/>
      <c r="T48" s="13"/>
      <c r="U48" s="13"/>
      <c r="V48" s="13"/>
      <c r="W48" s="13"/>
      <c r="X48" s="13"/>
      <c r="Y48" s="13"/>
      <c r="Z48" s="13" t="str">
        <f t="shared" si="2"/>
        <v>high</v>
      </c>
      <c r="AA48" s="13" t="str" cm="1">
        <f t="array" ref="AA48">_xlfn.IFS(H48&gt;30,"high",H48&gt;20,"medium",H48&lt;=20,"low")</f>
        <v>high</v>
      </c>
      <c r="AB48" s="13" t="b">
        <f t="shared" si="3"/>
        <v>1</v>
      </c>
      <c r="AC48" s="13" t="b">
        <f t="shared" si="4"/>
        <v>1</v>
      </c>
    </row>
    <row r="49" spans="1:29">
      <c r="A49" s="10" t="s">
        <v>45</v>
      </c>
      <c r="B49" s="12">
        <v>45838</v>
      </c>
      <c r="C49" s="10" t="s">
        <v>19</v>
      </c>
      <c r="D49" s="10" t="s">
        <v>226</v>
      </c>
      <c r="E49" s="10" t="s">
        <v>12</v>
      </c>
      <c r="F49" s="13">
        <v>19.7</v>
      </c>
      <c r="G49" s="13">
        <v>3.51</v>
      </c>
      <c r="H49" s="13">
        <f t="shared" si="0"/>
        <v>23.21</v>
      </c>
      <c r="I49" s="13">
        <f t="shared" si="1"/>
        <v>13.36</v>
      </c>
      <c r="J49" s="13"/>
      <c r="K49" s="13"/>
      <c r="L49" s="13"/>
      <c r="M49" s="13"/>
      <c r="N49" s="13"/>
      <c r="O49" s="13"/>
      <c r="P49" s="13"/>
      <c r="Q49" s="13"/>
      <c r="R49" s="13"/>
      <c r="S49" s="13"/>
      <c r="T49" s="13"/>
      <c r="U49" s="13"/>
      <c r="V49" s="13"/>
      <c r="W49" s="13"/>
      <c r="X49" s="13"/>
      <c r="Y49" s="13"/>
      <c r="Z49" s="13" t="str">
        <f t="shared" si="2"/>
        <v>low</v>
      </c>
      <c r="AA49" s="13" t="str" cm="1">
        <f t="array" ref="AA49">_xlfn.IFS(H49&gt;30,"high",H49&gt;20,"medium",H49&lt;=20,"low")</f>
        <v>medium</v>
      </c>
      <c r="AB49" s="13" t="b">
        <f t="shared" si="3"/>
        <v>1</v>
      </c>
      <c r="AC49" s="13" t="b">
        <f t="shared" si="4"/>
        <v>1</v>
      </c>
    </row>
    <row r="50" spans="1:29">
      <c r="A50" s="10" t="s">
        <v>243</v>
      </c>
      <c r="B50" s="12">
        <v>45670</v>
      </c>
      <c r="C50" s="10" t="s">
        <v>9</v>
      </c>
      <c r="D50" s="10" t="s">
        <v>6</v>
      </c>
      <c r="E50" s="10" t="s">
        <v>15</v>
      </c>
      <c r="F50" s="13">
        <v>32.46</v>
      </c>
      <c r="G50" s="13">
        <v>4.54</v>
      </c>
      <c r="H50" s="13">
        <f t="shared" si="0"/>
        <v>37</v>
      </c>
      <c r="I50" s="13">
        <f t="shared" si="1"/>
        <v>20.77</v>
      </c>
      <c r="J50" s="13"/>
      <c r="K50" s="13"/>
      <c r="L50" s="13"/>
      <c r="M50" s="13"/>
      <c r="N50" s="13"/>
      <c r="O50" s="13"/>
      <c r="P50" s="13"/>
      <c r="Q50" s="13"/>
      <c r="R50" s="13"/>
      <c r="S50" s="13"/>
      <c r="T50" s="13"/>
      <c r="U50" s="13"/>
      <c r="V50" s="13"/>
      <c r="W50" s="13"/>
      <c r="X50" s="13"/>
      <c r="Y50" s="13"/>
      <c r="Z50" s="13" t="str">
        <f t="shared" si="2"/>
        <v>high</v>
      </c>
      <c r="AA50" s="13" t="str" cm="1">
        <f t="array" ref="AA50">_xlfn.IFS(H50&gt;30,"high",H50&gt;20,"medium",H50&lt;=20,"low")</f>
        <v>high</v>
      </c>
      <c r="AB50" s="13" t="b">
        <f t="shared" si="3"/>
        <v>1</v>
      </c>
      <c r="AC50" s="13" t="b">
        <f t="shared" si="4"/>
        <v>1</v>
      </c>
    </row>
    <row r="51" spans="1:29">
      <c r="A51" s="10" t="s">
        <v>46</v>
      </c>
      <c r="B51" s="12">
        <v>46229</v>
      </c>
      <c r="C51" s="10" t="s">
        <v>5</v>
      </c>
      <c r="D51" s="10" t="s">
        <v>6</v>
      </c>
      <c r="E51" s="10" t="s">
        <v>8</v>
      </c>
      <c r="F51" s="13">
        <v>6.46</v>
      </c>
      <c r="G51" s="13">
        <v>12.44</v>
      </c>
      <c r="H51" s="13">
        <f t="shared" si="0"/>
        <v>18.899999999999999</v>
      </c>
      <c r="I51" s="13">
        <f t="shared" si="1"/>
        <v>15.669999999999998</v>
      </c>
      <c r="J51" s="13"/>
      <c r="K51" s="13"/>
      <c r="L51" s="13"/>
      <c r="M51" s="13"/>
      <c r="N51" s="13"/>
      <c r="O51" s="13"/>
      <c r="P51" s="13"/>
      <c r="Q51" s="13"/>
      <c r="R51" s="13"/>
      <c r="S51" s="13"/>
      <c r="T51" s="13"/>
      <c r="U51" s="13"/>
      <c r="V51" s="13"/>
      <c r="W51" s="13"/>
      <c r="X51" s="13"/>
      <c r="Y51" s="13"/>
      <c r="Z51" s="13" t="str">
        <f t="shared" si="2"/>
        <v>low</v>
      </c>
      <c r="AA51" s="13" t="str" cm="1">
        <f t="array" ref="AA51">_xlfn.IFS(H51&gt;30,"high",H51&gt;20,"medium",H51&lt;=20,"low")</f>
        <v>low</v>
      </c>
      <c r="AB51" s="13" t="b">
        <f t="shared" si="3"/>
        <v>1</v>
      </c>
      <c r="AC51" s="13" t="b">
        <f t="shared" si="4"/>
        <v>1</v>
      </c>
    </row>
    <row r="52" spans="1:29">
      <c r="A52" s="10" t="s">
        <v>47</v>
      </c>
      <c r="B52" s="12">
        <v>46162</v>
      </c>
      <c r="C52" s="10" t="s">
        <v>7</v>
      </c>
      <c r="D52" s="10" t="s">
        <v>226</v>
      </c>
      <c r="E52" s="10" t="s">
        <v>15</v>
      </c>
      <c r="F52" s="13">
        <v>9.48</v>
      </c>
      <c r="G52" s="13">
        <v>2.69</v>
      </c>
      <c r="H52" s="13">
        <f t="shared" si="0"/>
        <v>12.17</v>
      </c>
      <c r="I52" s="13">
        <f t="shared" si="1"/>
        <v>7.43</v>
      </c>
      <c r="J52" s="13"/>
      <c r="K52" s="13"/>
      <c r="L52" s="13"/>
      <c r="M52" s="13"/>
      <c r="N52" s="13"/>
      <c r="O52" s="13"/>
      <c r="P52" s="13"/>
      <c r="Q52" s="13"/>
      <c r="R52" s="13"/>
      <c r="S52" s="13"/>
      <c r="T52" s="13"/>
      <c r="U52" s="13"/>
      <c r="V52" s="13"/>
      <c r="W52" s="13"/>
      <c r="X52" s="13"/>
      <c r="Y52" s="13"/>
      <c r="Z52" s="13" t="str">
        <f t="shared" si="2"/>
        <v>low</v>
      </c>
      <c r="AA52" s="13" t="str" cm="1">
        <f t="array" ref="AA52">_xlfn.IFS(H52&gt;30,"high",H52&gt;20,"medium",H52&lt;=20,"low")</f>
        <v>low</v>
      </c>
      <c r="AB52" s="13" t="b">
        <f t="shared" si="3"/>
        <v>0</v>
      </c>
      <c r="AC52" s="13" t="b">
        <f t="shared" si="4"/>
        <v>1</v>
      </c>
    </row>
    <row r="53" spans="1:29">
      <c r="A53" s="10" t="s">
        <v>244</v>
      </c>
      <c r="B53" s="12">
        <v>46225</v>
      </c>
      <c r="C53" s="10" t="s">
        <v>19</v>
      </c>
      <c r="D53" s="10" t="s">
        <v>226</v>
      </c>
      <c r="E53" s="10" t="s">
        <v>15</v>
      </c>
      <c r="F53" s="13">
        <v>12.02</v>
      </c>
      <c r="G53" s="13">
        <v>6.68</v>
      </c>
      <c r="H53" s="13">
        <f t="shared" si="0"/>
        <v>18.7</v>
      </c>
      <c r="I53" s="13">
        <f t="shared" si="1"/>
        <v>12.69</v>
      </c>
      <c r="J53" s="13"/>
      <c r="K53" s="13"/>
      <c r="L53" s="13"/>
      <c r="M53" s="13"/>
      <c r="N53" s="13"/>
      <c r="O53" s="13"/>
      <c r="P53" s="13"/>
      <c r="Q53" s="13"/>
      <c r="R53" s="13"/>
      <c r="S53" s="13"/>
      <c r="T53" s="13"/>
      <c r="U53" s="13"/>
      <c r="V53" s="13"/>
      <c r="W53" s="13"/>
      <c r="X53" s="13"/>
      <c r="Y53" s="13"/>
      <c r="Z53" s="13" t="str">
        <f t="shared" si="2"/>
        <v>low</v>
      </c>
      <c r="AA53" s="13" t="str" cm="1">
        <f t="array" ref="AA53">_xlfn.IFS(H53&gt;30,"high",H53&gt;20,"medium",H53&lt;=20,"low")</f>
        <v>low</v>
      </c>
      <c r="AB53" s="13" t="b">
        <f t="shared" si="3"/>
        <v>1</v>
      </c>
      <c r="AC53" s="13" t="b">
        <f t="shared" si="4"/>
        <v>1</v>
      </c>
    </row>
    <row r="54" spans="1:29">
      <c r="A54" s="10" t="s">
        <v>245</v>
      </c>
      <c r="B54" s="12">
        <v>45906</v>
      </c>
      <c r="C54" s="10" t="s">
        <v>21</v>
      </c>
      <c r="D54" s="10" t="s">
        <v>226</v>
      </c>
      <c r="E54" s="10" t="s">
        <v>8</v>
      </c>
      <c r="F54" s="13">
        <v>44.51</v>
      </c>
      <c r="G54" s="13">
        <v>7.31</v>
      </c>
      <c r="H54" s="13">
        <f t="shared" si="0"/>
        <v>51.82</v>
      </c>
      <c r="I54" s="13">
        <f t="shared" si="1"/>
        <v>29.565000000000001</v>
      </c>
      <c r="J54" s="13"/>
      <c r="K54" s="13"/>
      <c r="L54" s="13"/>
      <c r="M54" s="13"/>
      <c r="N54" s="13"/>
      <c r="O54" s="13"/>
      <c r="P54" s="13"/>
      <c r="Q54" s="13"/>
      <c r="R54" s="13"/>
      <c r="S54" s="13"/>
      <c r="T54" s="13"/>
      <c r="U54" s="13"/>
      <c r="V54" s="13"/>
      <c r="W54" s="13"/>
      <c r="X54" s="13"/>
      <c r="Y54" s="13"/>
      <c r="Z54" s="13" t="str">
        <f t="shared" si="2"/>
        <v>high</v>
      </c>
      <c r="AA54" s="13" t="str" cm="1">
        <f t="array" ref="AA54">_xlfn.IFS(H54&gt;30,"high",H54&gt;20,"medium",H54&lt;=20,"low")</f>
        <v>high</v>
      </c>
      <c r="AB54" s="13" t="b">
        <f t="shared" si="3"/>
        <v>1</v>
      </c>
      <c r="AC54" s="13" t="b">
        <f t="shared" si="4"/>
        <v>1</v>
      </c>
    </row>
    <row r="55" spans="1:29">
      <c r="A55" s="10" t="s">
        <v>48</v>
      </c>
      <c r="B55" s="12">
        <v>45665</v>
      </c>
      <c r="C55" s="10" t="s">
        <v>19</v>
      </c>
      <c r="D55" s="10" t="s">
        <v>226</v>
      </c>
      <c r="E55" s="10" t="s">
        <v>8</v>
      </c>
      <c r="F55" s="13">
        <v>27.87</v>
      </c>
      <c r="G55" s="13">
        <v>5.08</v>
      </c>
      <c r="H55" s="13">
        <f t="shared" si="0"/>
        <v>32.950000000000003</v>
      </c>
      <c r="I55" s="13">
        <f t="shared" si="1"/>
        <v>19.015000000000001</v>
      </c>
      <c r="J55" s="13"/>
      <c r="K55" s="13"/>
      <c r="L55" s="13"/>
      <c r="M55" s="13"/>
      <c r="N55" s="13"/>
      <c r="O55" s="13"/>
      <c r="P55" s="13"/>
      <c r="Q55" s="13"/>
      <c r="R55" s="13"/>
      <c r="S55" s="13"/>
      <c r="T55" s="13"/>
      <c r="U55" s="13"/>
      <c r="V55" s="13"/>
      <c r="W55" s="13"/>
      <c r="X55" s="13"/>
      <c r="Y55" s="13"/>
      <c r="Z55" s="13" t="str">
        <f t="shared" si="2"/>
        <v>high</v>
      </c>
      <c r="AA55" s="13" t="str" cm="1">
        <f t="array" ref="AA55">_xlfn.IFS(H55&gt;30,"high",H55&gt;20,"medium",H55&lt;=20,"low")</f>
        <v>high</v>
      </c>
      <c r="AB55" s="13" t="b">
        <f t="shared" si="3"/>
        <v>1</v>
      </c>
      <c r="AC55" s="13" t="b">
        <f t="shared" si="4"/>
        <v>1</v>
      </c>
    </row>
    <row r="56" spans="1:29">
      <c r="A56" s="10" t="s">
        <v>49</v>
      </c>
      <c r="B56" s="12">
        <v>46177</v>
      </c>
      <c r="C56" s="10" t="s">
        <v>7</v>
      </c>
      <c r="D56" s="10" t="s">
        <v>226</v>
      </c>
      <c r="E56" s="10" t="s">
        <v>15</v>
      </c>
      <c r="F56" s="13">
        <v>43.16</v>
      </c>
      <c r="G56" s="13">
        <v>3.69</v>
      </c>
      <c r="H56" s="13">
        <f t="shared" si="0"/>
        <v>46.849999999999994</v>
      </c>
      <c r="I56" s="13">
        <f t="shared" si="1"/>
        <v>25.269999999999996</v>
      </c>
      <c r="J56" s="13"/>
      <c r="K56" s="13"/>
      <c r="L56" s="13"/>
      <c r="M56" s="13"/>
      <c r="N56" s="13"/>
      <c r="O56" s="13"/>
      <c r="P56" s="13"/>
      <c r="Q56" s="13"/>
      <c r="R56" s="13"/>
      <c r="S56" s="13"/>
      <c r="T56" s="13"/>
      <c r="U56" s="13"/>
      <c r="V56" s="13"/>
      <c r="W56" s="13"/>
      <c r="X56" s="13"/>
      <c r="Y56" s="13"/>
      <c r="Z56" s="13" t="str">
        <f t="shared" si="2"/>
        <v>high</v>
      </c>
      <c r="AA56" s="13" t="str" cm="1">
        <f t="array" ref="AA56">_xlfn.IFS(H56&gt;30,"high",H56&gt;20,"medium",H56&lt;=20,"low")</f>
        <v>high</v>
      </c>
      <c r="AB56" s="13" t="b">
        <f t="shared" si="3"/>
        <v>1</v>
      </c>
      <c r="AC56" s="13" t="b">
        <f t="shared" si="4"/>
        <v>1</v>
      </c>
    </row>
    <row r="57" spans="1:29">
      <c r="A57" s="10" t="s">
        <v>246</v>
      </c>
      <c r="B57" s="12">
        <v>46228</v>
      </c>
      <c r="C57" s="10" t="s">
        <v>19</v>
      </c>
      <c r="D57" s="10" t="s">
        <v>6</v>
      </c>
      <c r="E57" s="10" t="s">
        <v>8</v>
      </c>
      <c r="F57" s="13">
        <v>27.05</v>
      </c>
      <c r="G57" s="13">
        <v>8.31</v>
      </c>
      <c r="H57" s="13">
        <f t="shared" si="0"/>
        <v>35.36</v>
      </c>
      <c r="I57" s="13">
        <f t="shared" si="1"/>
        <v>21.835000000000001</v>
      </c>
      <c r="J57" s="13"/>
      <c r="K57" s="13"/>
      <c r="L57" s="13"/>
      <c r="M57" s="13"/>
      <c r="N57" s="13"/>
      <c r="O57" s="13"/>
      <c r="P57" s="13"/>
      <c r="Q57" s="13"/>
      <c r="R57" s="13"/>
      <c r="S57" s="13"/>
      <c r="T57" s="13"/>
      <c r="U57" s="13"/>
      <c r="V57" s="13"/>
      <c r="W57" s="13"/>
      <c r="X57" s="13"/>
      <c r="Y57" s="13"/>
      <c r="Z57" s="13" t="str">
        <f t="shared" si="2"/>
        <v>high</v>
      </c>
      <c r="AA57" s="13" t="str" cm="1">
        <f t="array" ref="AA57">_xlfn.IFS(H57&gt;30,"high",H57&gt;20,"medium",H57&lt;=20,"low")</f>
        <v>high</v>
      </c>
      <c r="AB57" s="13" t="b">
        <f t="shared" si="3"/>
        <v>1</v>
      </c>
      <c r="AC57" s="13" t="b">
        <f t="shared" si="4"/>
        <v>1</v>
      </c>
    </row>
    <row r="58" spans="1:29">
      <c r="A58" s="10" t="s">
        <v>50</v>
      </c>
      <c r="B58" s="12">
        <v>46052</v>
      </c>
      <c r="C58" s="10" t="s">
        <v>5</v>
      </c>
      <c r="D58" s="10" t="s">
        <v>226</v>
      </c>
      <c r="E58" s="10" t="s">
        <v>6</v>
      </c>
      <c r="F58" s="13">
        <v>14.07</v>
      </c>
      <c r="G58" s="13">
        <v>1.29</v>
      </c>
      <c r="H58" s="13">
        <f t="shared" si="0"/>
        <v>15.36</v>
      </c>
      <c r="I58" s="13">
        <f t="shared" si="1"/>
        <v>8.3249999999999993</v>
      </c>
      <c r="J58" s="13"/>
      <c r="K58" s="13"/>
      <c r="L58" s="13"/>
      <c r="M58" s="13"/>
      <c r="N58" s="13"/>
      <c r="O58" s="13"/>
      <c r="P58" s="13"/>
      <c r="Q58" s="13"/>
      <c r="R58" s="13"/>
      <c r="S58" s="13"/>
      <c r="T58" s="13"/>
      <c r="U58" s="13"/>
      <c r="V58" s="13"/>
      <c r="W58" s="13"/>
      <c r="X58" s="13"/>
      <c r="Y58" s="13"/>
      <c r="Z58" s="13" t="str">
        <f t="shared" si="2"/>
        <v>low</v>
      </c>
      <c r="AA58" s="13" t="str" cm="1">
        <f t="array" ref="AA58">_xlfn.IFS(H58&gt;30,"high",H58&gt;20,"medium",H58&lt;=20,"low")</f>
        <v>low</v>
      </c>
      <c r="AB58" s="13" t="b">
        <f t="shared" si="3"/>
        <v>0</v>
      </c>
      <c r="AC58" s="13" t="b">
        <f t="shared" si="4"/>
        <v>1</v>
      </c>
    </row>
    <row r="59" spans="1:29">
      <c r="A59" s="10" t="s">
        <v>51</v>
      </c>
      <c r="B59" s="12">
        <v>45744</v>
      </c>
      <c r="C59" s="10" t="s">
        <v>21</v>
      </c>
      <c r="D59" s="10" t="s">
        <v>226</v>
      </c>
      <c r="E59" s="10" t="s">
        <v>15</v>
      </c>
      <c r="F59" s="13">
        <v>63.94</v>
      </c>
      <c r="G59" s="13">
        <v>13.51</v>
      </c>
      <c r="H59" s="13">
        <f t="shared" si="0"/>
        <v>77.45</v>
      </c>
      <c r="I59" s="13">
        <f t="shared" si="1"/>
        <v>45.480000000000004</v>
      </c>
      <c r="J59" s="13"/>
      <c r="K59" s="13"/>
      <c r="L59" s="13"/>
      <c r="M59" s="13"/>
      <c r="N59" s="13"/>
      <c r="O59" s="13"/>
      <c r="P59" s="13"/>
      <c r="Q59" s="13"/>
      <c r="R59" s="13"/>
      <c r="S59" s="13"/>
      <c r="T59" s="13"/>
      <c r="U59" s="13"/>
      <c r="V59" s="13"/>
      <c r="W59" s="13"/>
      <c r="X59" s="13"/>
      <c r="Y59" s="13"/>
      <c r="Z59" s="13" t="str">
        <f t="shared" si="2"/>
        <v>high</v>
      </c>
      <c r="AA59" s="13" t="str" cm="1">
        <f t="array" ref="AA59">_xlfn.IFS(H59&gt;30,"high",H59&gt;20,"medium",H59&lt;=20,"low")</f>
        <v>high</v>
      </c>
      <c r="AB59" s="13" t="b">
        <f t="shared" si="3"/>
        <v>0</v>
      </c>
      <c r="AC59" s="13" t="b">
        <f t="shared" si="4"/>
        <v>1</v>
      </c>
    </row>
    <row r="60" spans="1:29">
      <c r="A60" s="10" t="s">
        <v>52</v>
      </c>
      <c r="B60" s="12">
        <v>45683</v>
      </c>
      <c r="C60" s="10" t="s">
        <v>9</v>
      </c>
      <c r="D60" s="10" t="s">
        <v>224</v>
      </c>
      <c r="E60" s="10" t="s">
        <v>15</v>
      </c>
      <c r="F60" s="13">
        <v>58.01</v>
      </c>
      <c r="G60" s="13">
        <v>11.76</v>
      </c>
      <c r="H60" s="13">
        <f t="shared" si="0"/>
        <v>69.77</v>
      </c>
      <c r="I60" s="13">
        <f t="shared" si="1"/>
        <v>40.765000000000001</v>
      </c>
      <c r="J60" s="13"/>
      <c r="K60" s="13"/>
      <c r="L60" s="13"/>
      <c r="M60" s="13"/>
      <c r="N60" s="13"/>
      <c r="O60" s="13"/>
      <c r="P60" s="13"/>
      <c r="Q60" s="13"/>
      <c r="R60" s="13"/>
      <c r="S60" s="13"/>
      <c r="T60" s="13"/>
      <c r="U60" s="13"/>
      <c r="V60" s="13"/>
      <c r="W60" s="13"/>
      <c r="X60" s="13"/>
      <c r="Y60" s="13"/>
      <c r="Z60" s="13" t="str">
        <f t="shared" si="2"/>
        <v>high</v>
      </c>
      <c r="AA60" s="13" t="str" cm="1">
        <f t="array" ref="AA60">_xlfn.IFS(H60&gt;30,"high",H60&gt;20,"medium",H60&lt;=20,"low")</f>
        <v>high</v>
      </c>
      <c r="AB60" s="13" t="b">
        <f t="shared" si="3"/>
        <v>0</v>
      </c>
      <c r="AC60" s="13" t="b">
        <f t="shared" si="4"/>
        <v>1</v>
      </c>
    </row>
    <row r="61" spans="1:29">
      <c r="A61" s="10" t="s">
        <v>53</v>
      </c>
      <c r="B61" s="12">
        <v>45709</v>
      </c>
      <c r="C61" s="10" t="s">
        <v>5</v>
      </c>
      <c r="D61" s="10" t="s">
        <v>6</v>
      </c>
      <c r="E61" s="10" t="s">
        <v>12</v>
      </c>
      <c r="F61" s="13">
        <v>30.59</v>
      </c>
      <c r="G61" s="13">
        <v>8.82</v>
      </c>
      <c r="H61" s="13">
        <f t="shared" si="0"/>
        <v>39.409999999999997</v>
      </c>
      <c r="I61" s="13">
        <f t="shared" si="1"/>
        <v>24.114999999999998</v>
      </c>
      <c r="J61" s="13"/>
      <c r="K61" s="13"/>
      <c r="L61" s="13"/>
      <c r="M61" s="13"/>
      <c r="N61" s="13"/>
      <c r="O61" s="13"/>
      <c r="P61" s="13"/>
      <c r="Q61" s="13"/>
      <c r="R61" s="13"/>
      <c r="S61" s="13"/>
      <c r="T61" s="13"/>
      <c r="U61" s="13"/>
      <c r="V61" s="13"/>
      <c r="W61" s="13"/>
      <c r="X61" s="13"/>
      <c r="Y61" s="13"/>
      <c r="Z61" s="13" t="str">
        <f t="shared" si="2"/>
        <v>high</v>
      </c>
      <c r="AA61" s="13" t="str" cm="1">
        <f t="array" ref="AA61">_xlfn.IFS(H61&gt;30,"high",H61&gt;20,"medium",H61&lt;=20,"low")</f>
        <v>high</v>
      </c>
      <c r="AB61" s="13" t="b">
        <f t="shared" si="3"/>
        <v>1</v>
      </c>
      <c r="AC61" s="13" t="b">
        <f t="shared" si="4"/>
        <v>1</v>
      </c>
    </row>
    <row r="62" spans="1:29">
      <c r="A62" s="10" t="s">
        <v>54</v>
      </c>
      <c r="B62" s="12">
        <v>46001</v>
      </c>
      <c r="C62" s="10" t="s">
        <v>5</v>
      </c>
      <c r="D62" s="10" t="s">
        <v>226</v>
      </c>
      <c r="E62" s="10" t="s">
        <v>8</v>
      </c>
      <c r="F62" s="13">
        <v>20.48</v>
      </c>
      <c r="G62" s="13">
        <v>6.69</v>
      </c>
      <c r="H62" s="13">
        <f t="shared" si="0"/>
        <v>27.17</v>
      </c>
      <c r="I62" s="13">
        <f t="shared" si="1"/>
        <v>16.93</v>
      </c>
      <c r="J62" s="13"/>
      <c r="K62" s="13"/>
      <c r="L62" s="13"/>
      <c r="M62" s="13"/>
      <c r="N62" s="13"/>
      <c r="O62" s="13"/>
      <c r="P62" s="13"/>
      <c r="Q62" s="13"/>
      <c r="R62" s="13"/>
      <c r="S62" s="13"/>
      <c r="T62" s="13"/>
      <c r="U62" s="13"/>
      <c r="V62" s="13"/>
      <c r="W62" s="13"/>
      <c r="X62" s="13"/>
      <c r="Y62" s="13"/>
      <c r="Z62" s="13" t="str">
        <f t="shared" si="2"/>
        <v>low</v>
      </c>
      <c r="AA62" s="13" t="str" cm="1">
        <f t="array" ref="AA62">_xlfn.IFS(H62&gt;30,"high",H62&gt;20,"medium",H62&lt;=20,"low")</f>
        <v>medium</v>
      </c>
      <c r="AB62" s="13" t="b">
        <f t="shared" si="3"/>
        <v>1</v>
      </c>
      <c r="AC62" s="13" t="b">
        <f t="shared" si="4"/>
        <v>1</v>
      </c>
    </row>
    <row r="63" spans="1:29">
      <c r="A63" s="10" t="s">
        <v>55</v>
      </c>
      <c r="B63" s="12">
        <v>45726</v>
      </c>
      <c r="C63" s="10" t="s">
        <v>9</v>
      </c>
      <c r="D63" s="10" t="s">
        <v>6</v>
      </c>
      <c r="E63" s="10" t="s">
        <v>15</v>
      </c>
      <c r="F63" s="13">
        <v>70.87</v>
      </c>
      <c r="G63" s="13">
        <v>1.65</v>
      </c>
      <c r="H63" s="13">
        <f t="shared" si="0"/>
        <v>72.52000000000001</v>
      </c>
      <c r="I63" s="13">
        <f t="shared" si="1"/>
        <v>37.085000000000008</v>
      </c>
      <c r="J63" s="13"/>
      <c r="K63" s="13"/>
      <c r="L63" s="13"/>
      <c r="M63" s="13"/>
      <c r="N63" s="13"/>
      <c r="O63" s="13"/>
      <c r="P63" s="13"/>
      <c r="Q63" s="13"/>
      <c r="R63" s="13"/>
      <c r="S63" s="13"/>
      <c r="T63" s="13"/>
      <c r="U63" s="13"/>
      <c r="V63" s="13"/>
      <c r="W63" s="13"/>
      <c r="X63" s="13"/>
      <c r="Y63" s="13"/>
      <c r="Z63" s="13" t="str">
        <f t="shared" si="2"/>
        <v>high</v>
      </c>
      <c r="AA63" s="13" t="str" cm="1">
        <f t="array" ref="AA63">_xlfn.IFS(H63&gt;30,"high",H63&gt;20,"medium",H63&lt;=20,"low")</f>
        <v>high</v>
      </c>
      <c r="AB63" s="13" t="b">
        <f t="shared" si="3"/>
        <v>0</v>
      </c>
      <c r="AC63" s="13" t="b">
        <f t="shared" si="4"/>
        <v>1</v>
      </c>
    </row>
    <row r="64" spans="1:29">
      <c r="A64" s="10" t="s">
        <v>56</v>
      </c>
      <c r="B64" s="12">
        <v>45840</v>
      </c>
      <c r="C64" s="10" t="s">
        <v>5</v>
      </c>
      <c r="D64" s="10" t="s">
        <v>226</v>
      </c>
      <c r="E64" s="10" t="s">
        <v>12</v>
      </c>
      <c r="F64" s="13">
        <v>38.24</v>
      </c>
      <c r="G64" s="13">
        <v>11.65</v>
      </c>
      <c r="H64" s="13">
        <f t="shared" si="0"/>
        <v>49.89</v>
      </c>
      <c r="I64" s="13">
        <f t="shared" si="1"/>
        <v>30.77</v>
      </c>
      <c r="J64" s="13"/>
      <c r="K64" s="13"/>
      <c r="L64" s="13"/>
      <c r="M64" s="13"/>
      <c r="N64" s="13"/>
      <c r="O64" s="13"/>
      <c r="P64" s="13"/>
      <c r="Q64" s="13"/>
      <c r="R64" s="13"/>
      <c r="S64" s="13"/>
      <c r="T64" s="13"/>
      <c r="U64" s="13"/>
      <c r="V64" s="13"/>
      <c r="W64" s="13"/>
      <c r="X64" s="13"/>
      <c r="Y64" s="13"/>
      <c r="Z64" s="13" t="str">
        <f t="shared" si="2"/>
        <v>high</v>
      </c>
      <c r="AA64" s="13" t="str" cm="1">
        <f t="array" ref="AA64">_xlfn.IFS(H64&gt;30,"high",H64&gt;20,"medium",H64&lt;=20,"low")</f>
        <v>high</v>
      </c>
      <c r="AB64" s="13" t="b">
        <f t="shared" si="3"/>
        <v>0</v>
      </c>
      <c r="AC64" s="13" t="b">
        <f t="shared" si="4"/>
        <v>1</v>
      </c>
    </row>
    <row r="65" spans="1:29">
      <c r="A65" s="10" t="s">
        <v>57</v>
      </c>
      <c r="B65" s="12">
        <v>46206</v>
      </c>
      <c r="C65" s="10" t="s">
        <v>19</v>
      </c>
      <c r="D65" s="10" t="s">
        <v>224</v>
      </c>
      <c r="E65" s="10" t="s">
        <v>12</v>
      </c>
      <c r="F65" s="13">
        <v>24.4</v>
      </c>
      <c r="G65" s="13">
        <v>5.88</v>
      </c>
      <c r="H65" s="13">
        <f t="shared" si="0"/>
        <v>30.279999999999998</v>
      </c>
      <c r="I65" s="13">
        <f t="shared" si="1"/>
        <v>18.079999999999998</v>
      </c>
      <c r="J65" s="13"/>
      <c r="K65" s="13"/>
      <c r="L65" s="13"/>
      <c r="M65" s="13"/>
      <c r="N65" s="13"/>
      <c r="O65" s="13"/>
      <c r="P65" s="13"/>
      <c r="Q65" s="13"/>
      <c r="R65" s="13"/>
      <c r="S65" s="13"/>
      <c r="T65" s="13"/>
      <c r="U65" s="13"/>
      <c r="V65" s="13"/>
      <c r="W65" s="13"/>
      <c r="X65" s="13"/>
      <c r="Y65" s="13"/>
      <c r="Z65" s="13" t="str">
        <f t="shared" si="2"/>
        <v>high</v>
      </c>
      <c r="AA65" s="13" t="str" cm="1">
        <f t="array" ref="AA65">_xlfn.IFS(H65&gt;30,"high",H65&gt;20,"medium",H65&lt;=20,"low")</f>
        <v>high</v>
      </c>
      <c r="AB65" s="13" t="b">
        <f t="shared" si="3"/>
        <v>1</v>
      </c>
      <c r="AC65" s="13" t="b">
        <f t="shared" si="4"/>
        <v>1</v>
      </c>
    </row>
    <row r="66" spans="1:29">
      <c r="A66" s="10" t="s">
        <v>58</v>
      </c>
      <c r="B66" s="12">
        <v>46000</v>
      </c>
      <c r="C66" s="10" t="s">
        <v>5</v>
      </c>
      <c r="D66" s="10" t="s">
        <v>224</v>
      </c>
      <c r="E66" s="10" t="s">
        <v>12</v>
      </c>
      <c r="F66" s="13">
        <v>43.63</v>
      </c>
      <c r="G66" s="13">
        <v>5.14</v>
      </c>
      <c r="H66" s="13">
        <f t="shared" si="0"/>
        <v>48.77</v>
      </c>
      <c r="I66" s="13">
        <f t="shared" si="1"/>
        <v>26.955000000000002</v>
      </c>
      <c r="J66" s="13"/>
      <c r="K66" s="13"/>
      <c r="L66" s="13"/>
      <c r="M66" s="13"/>
      <c r="N66" s="13"/>
      <c r="O66" s="13"/>
      <c r="P66" s="13"/>
      <c r="Q66" s="13"/>
      <c r="R66" s="13"/>
      <c r="S66" s="13"/>
      <c r="T66" s="13"/>
      <c r="U66" s="13"/>
      <c r="V66" s="13"/>
      <c r="W66" s="13"/>
      <c r="X66" s="13"/>
      <c r="Y66" s="13"/>
      <c r="Z66" s="13" t="str">
        <f t="shared" si="2"/>
        <v>high</v>
      </c>
      <c r="AA66" s="13" t="str" cm="1">
        <f t="array" ref="AA66">_xlfn.IFS(H66&gt;30,"high",H66&gt;20,"medium",H66&lt;=20,"low")</f>
        <v>high</v>
      </c>
      <c r="AB66" s="13" t="b">
        <f t="shared" si="3"/>
        <v>1</v>
      </c>
      <c r="AC66" s="13" t="b">
        <f t="shared" si="4"/>
        <v>1</v>
      </c>
    </row>
    <row r="67" spans="1:29">
      <c r="A67" s="10" t="s">
        <v>247</v>
      </c>
      <c r="B67" s="12">
        <v>46183</v>
      </c>
      <c r="C67" s="10" t="s">
        <v>14</v>
      </c>
      <c r="D67" s="10" t="s">
        <v>226</v>
      </c>
      <c r="E67" s="10" t="s">
        <v>12</v>
      </c>
      <c r="F67" s="13">
        <v>25.07</v>
      </c>
      <c r="G67" s="13">
        <v>2.0699999999999998</v>
      </c>
      <c r="H67" s="13">
        <f t="shared" ref="H67:H130" si="5">SUM(F67,G67)</f>
        <v>27.14</v>
      </c>
      <c r="I67" s="13">
        <f t="shared" ref="I67:I130" si="6">AVERAGE(G67,H67)</f>
        <v>14.605</v>
      </c>
      <c r="J67" s="13"/>
      <c r="K67" s="13"/>
      <c r="L67" s="13"/>
      <c r="M67" s="13"/>
      <c r="N67" s="13"/>
      <c r="O67" s="13"/>
      <c r="P67" s="13"/>
      <c r="Q67" s="13"/>
      <c r="R67" s="13"/>
      <c r="S67" s="13"/>
      <c r="T67" s="13"/>
      <c r="U67" s="13"/>
      <c r="V67" s="13"/>
      <c r="W67" s="13"/>
      <c r="X67" s="13"/>
      <c r="Y67" s="13"/>
      <c r="Z67" s="13" t="str">
        <f t="shared" ref="Z67:Z130" si="7">IF(H67&gt;30,"high","low")</f>
        <v>low</v>
      </c>
      <c r="AA67" s="13" t="str" cm="1">
        <f t="array" ref="AA67">_xlfn.IFS(H67&gt;30,"high",H67&gt;20,"medium",H67&lt;=20,"low")</f>
        <v>medium</v>
      </c>
      <c r="AB67" s="13" t="b">
        <f t="shared" ref="AB67:AB130" si="8">AND(I67&gt;10,I67&lt;30)</f>
        <v>1</v>
      </c>
      <c r="AC67" s="13" t="b">
        <f t="shared" ref="AC67:AC130" si="9">OR(I67&gt;10,I67&lt;30)</f>
        <v>1</v>
      </c>
    </row>
    <row r="68" spans="1:29">
      <c r="A68" s="10" t="s">
        <v>248</v>
      </c>
      <c r="B68" s="12">
        <v>45883</v>
      </c>
      <c r="C68" s="10" t="s">
        <v>5</v>
      </c>
      <c r="D68" s="10" t="s">
        <v>224</v>
      </c>
      <c r="E68" s="10" t="s">
        <v>8</v>
      </c>
      <c r="F68" s="13">
        <v>3.76</v>
      </c>
      <c r="G68" s="13">
        <v>4.41</v>
      </c>
      <c r="H68" s="13">
        <f t="shared" si="5"/>
        <v>8.17</v>
      </c>
      <c r="I68" s="13">
        <f t="shared" si="6"/>
        <v>6.29</v>
      </c>
      <c r="J68" s="13"/>
      <c r="K68" s="13"/>
      <c r="L68" s="13"/>
      <c r="M68" s="13"/>
      <c r="N68" s="13"/>
      <c r="O68" s="13"/>
      <c r="P68" s="13"/>
      <c r="Q68" s="13"/>
      <c r="R68" s="13"/>
      <c r="S68" s="13"/>
      <c r="T68" s="13"/>
      <c r="U68" s="13"/>
      <c r="V68" s="13"/>
      <c r="W68" s="13"/>
      <c r="X68" s="13"/>
      <c r="Y68" s="13"/>
      <c r="Z68" s="13" t="str">
        <f t="shared" si="7"/>
        <v>low</v>
      </c>
      <c r="AA68" s="13" t="str" cm="1">
        <f t="array" ref="AA68">_xlfn.IFS(H68&gt;30,"high",H68&gt;20,"medium",H68&lt;=20,"low")</f>
        <v>low</v>
      </c>
      <c r="AB68" s="13" t="b">
        <f t="shared" si="8"/>
        <v>0</v>
      </c>
      <c r="AC68" s="13" t="b">
        <f t="shared" si="9"/>
        <v>1</v>
      </c>
    </row>
    <row r="69" spans="1:29">
      <c r="A69" s="10" t="s">
        <v>59</v>
      </c>
      <c r="B69" s="12">
        <v>46049</v>
      </c>
      <c r="C69" s="10" t="s">
        <v>19</v>
      </c>
      <c r="D69" s="10" t="s">
        <v>224</v>
      </c>
      <c r="E69" s="10" t="s">
        <v>15</v>
      </c>
      <c r="F69" s="13">
        <v>57.8</v>
      </c>
      <c r="G69" s="13">
        <v>2.56</v>
      </c>
      <c r="H69" s="13">
        <f t="shared" si="5"/>
        <v>60.36</v>
      </c>
      <c r="I69" s="13">
        <f t="shared" si="6"/>
        <v>31.46</v>
      </c>
      <c r="J69" s="13"/>
      <c r="K69" s="13"/>
      <c r="L69" s="13"/>
      <c r="M69" s="13"/>
      <c r="N69" s="13"/>
      <c r="O69" s="13"/>
      <c r="P69" s="13"/>
      <c r="Q69" s="13"/>
      <c r="R69" s="13"/>
      <c r="S69" s="13"/>
      <c r="T69" s="13"/>
      <c r="U69" s="13"/>
      <c r="V69" s="13"/>
      <c r="W69" s="13"/>
      <c r="X69" s="13"/>
      <c r="Y69" s="13"/>
      <c r="Z69" s="13" t="str">
        <f t="shared" si="7"/>
        <v>high</v>
      </c>
      <c r="AA69" s="13" t="str" cm="1">
        <f t="array" ref="AA69">_xlfn.IFS(H69&gt;30,"high",H69&gt;20,"medium",H69&lt;=20,"low")</f>
        <v>high</v>
      </c>
      <c r="AB69" s="13" t="b">
        <f t="shared" si="8"/>
        <v>0</v>
      </c>
      <c r="AC69" s="13" t="b">
        <f t="shared" si="9"/>
        <v>1</v>
      </c>
    </row>
    <row r="70" spans="1:29">
      <c r="A70" s="10" t="s">
        <v>249</v>
      </c>
      <c r="B70" s="12">
        <v>45991</v>
      </c>
      <c r="C70" s="10" t="s">
        <v>7</v>
      </c>
      <c r="D70" s="10" t="s">
        <v>6</v>
      </c>
      <c r="E70" s="10" t="s">
        <v>8</v>
      </c>
      <c r="F70" s="13">
        <v>13.94</v>
      </c>
      <c r="G70" s="13">
        <v>2.04</v>
      </c>
      <c r="H70" s="13">
        <f t="shared" si="5"/>
        <v>15.98</v>
      </c>
      <c r="I70" s="13">
        <f t="shared" si="6"/>
        <v>9.01</v>
      </c>
      <c r="J70" s="13"/>
      <c r="K70" s="13"/>
      <c r="L70" s="13"/>
      <c r="M70" s="13"/>
      <c r="N70" s="13"/>
      <c r="O70" s="13"/>
      <c r="P70" s="13"/>
      <c r="Q70" s="13"/>
      <c r="R70" s="13"/>
      <c r="S70" s="13"/>
      <c r="T70" s="13"/>
      <c r="U70" s="13"/>
      <c r="V70" s="13"/>
      <c r="W70" s="13"/>
      <c r="X70" s="13"/>
      <c r="Y70" s="13"/>
      <c r="Z70" s="13" t="str">
        <f t="shared" si="7"/>
        <v>low</v>
      </c>
      <c r="AA70" s="13" t="str" cm="1">
        <f t="array" ref="AA70">_xlfn.IFS(H70&gt;30,"high",H70&gt;20,"medium",H70&lt;=20,"low")</f>
        <v>low</v>
      </c>
      <c r="AB70" s="13" t="b">
        <f t="shared" si="8"/>
        <v>0</v>
      </c>
      <c r="AC70" s="13" t="b">
        <f t="shared" si="9"/>
        <v>1</v>
      </c>
    </row>
    <row r="71" spans="1:29">
      <c r="A71" s="10" t="s">
        <v>60</v>
      </c>
      <c r="B71" s="12">
        <v>46037</v>
      </c>
      <c r="C71" s="10" t="s">
        <v>7</v>
      </c>
      <c r="D71" s="10" t="s">
        <v>226</v>
      </c>
      <c r="E71" s="10" t="s">
        <v>12</v>
      </c>
      <c r="F71" s="13">
        <v>40.99</v>
      </c>
      <c r="G71" s="13">
        <v>4.4400000000000004</v>
      </c>
      <c r="H71" s="13">
        <f t="shared" si="5"/>
        <v>45.43</v>
      </c>
      <c r="I71" s="13">
        <f t="shared" si="6"/>
        <v>24.934999999999999</v>
      </c>
      <c r="J71" s="13"/>
      <c r="K71" s="13"/>
      <c r="L71" s="13"/>
      <c r="M71" s="13"/>
      <c r="N71" s="13"/>
      <c r="O71" s="13"/>
      <c r="P71" s="13"/>
      <c r="Q71" s="13"/>
      <c r="R71" s="13"/>
      <c r="S71" s="13"/>
      <c r="T71" s="13"/>
      <c r="U71" s="13"/>
      <c r="V71" s="13"/>
      <c r="W71" s="13"/>
      <c r="X71" s="13"/>
      <c r="Y71" s="13"/>
      <c r="Z71" s="13" t="str">
        <f t="shared" si="7"/>
        <v>high</v>
      </c>
      <c r="AA71" s="13" t="str" cm="1">
        <f t="array" ref="AA71">_xlfn.IFS(H71&gt;30,"high",H71&gt;20,"medium",H71&lt;=20,"low")</f>
        <v>high</v>
      </c>
      <c r="AB71" s="13" t="b">
        <f t="shared" si="8"/>
        <v>1</v>
      </c>
      <c r="AC71" s="13" t="b">
        <f t="shared" si="9"/>
        <v>1</v>
      </c>
    </row>
    <row r="72" spans="1:29">
      <c r="A72" s="10" t="s">
        <v>61</v>
      </c>
      <c r="B72" s="12">
        <v>46033</v>
      </c>
      <c r="C72" s="10" t="s">
        <v>14</v>
      </c>
      <c r="D72" s="10" t="s">
        <v>226</v>
      </c>
      <c r="E72" s="10" t="s">
        <v>8</v>
      </c>
      <c r="F72" s="13">
        <v>18.309999999999999</v>
      </c>
      <c r="G72" s="13">
        <v>3.74</v>
      </c>
      <c r="H72" s="13">
        <f t="shared" si="5"/>
        <v>22.049999999999997</v>
      </c>
      <c r="I72" s="13">
        <f t="shared" si="6"/>
        <v>12.895</v>
      </c>
      <c r="J72" s="13"/>
      <c r="K72" s="13"/>
      <c r="L72" s="13"/>
      <c r="M72" s="13"/>
      <c r="N72" s="13"/>
      <c r="O72" s="13"/>
      <c r="P72" s="13"/>
      <c r="Q72" s="13"/>
      <c r="R72" s="13"/>
      <c r="S72" s="13"/>
      <c r="T72" s="13"/>
      <c r="U72" s="13"/>
      <c r="V72" s="13"/>
      <c r="W72" s="13"/>
      <c r="X72" s="13"/>
      <c r="Y72" s="13"/>
      <c r="Z72" s="13" t="str">
        <f t="shared" si="7"/>
        <v>low</v>
      </c>
      <c r="AA72" s="13" t="str" cm="1">
        <f t="array" ref="AA72">_xlfn.IFS(H72&gt;30,"high",H72&gt;20,"medium",H72&lt;=20,"low")</f>
        <v>medium</v>
      </c>
      <c r="AB72" s="13" t="b">
        <f t="shared" si="8"/>
        <v>1</v>
      </c>
      <c r="AC72" s="13" t="b">
        <f t="shared" si="9"/>
        <v>1</v>
      </c>
    </row>
    <row r="73" spans="1:29">
      <c r="A73" s="10" t="s">
        <v>62</v>
      </c>
      <c r="B73" s="12">
        <v>46137</v>
      </c>
      <c r="C73" s="10" t="s">
        <v>14</v>
      </c>
      <c r="D73" s="10" t="s">
        <v>226</v>
      </c>
      <c r="E73" s="10" t="s">
        <v>12</v>
      </c>
      <c r="F73" s="13">
        <v>7.39</v>
      </c>
      <c r="G73" s="13">
        <v>1.55</v>
      </c>
      <c r="H73" s="13">
        <f t="shared" si="5"/>
        <v>8.94</v>
      </c>
      <c r="I73" s="13">
        <f t="shared" si="6"/>
        <v>5.2450000000000001</v>
      </c>
      <c r="J73" s="13"/>
      <c r="K73" s="13"/>
      <c r="L73" s="13"/>
      <c r="M73" s="13"/>
      <c r="N73" s="13"/>
      <c r="O73" s="13"/>
      <c r="P73" s="13"/>
      <c r="Q73" s="13"/>
      <c r="R73" s="13"/>
      <c r="S73" s="13"/>
      <c r="T73" s="13"/>
      <c r="U73" s="13"/>
      <c r="V73" s="13"/>
      <c r="W73" s="13"/>
      <c r="X73" s="13"/>
      <c r="Y73" s="13"/>
      <c r="Z73" s="13" t="str">
        <f t="shared" si="7"/>
        <v>low</v>
      </c>
      <c r="AA73" s="13" t="str" cm="1">
        <f t="array" ref="AA73">_xlfn.IFS(H73&gt;30,"high",H73&gt;20,"medium",H73&lt;=20,"low")</f>
        <v>low</v>
      </c>
      <c r="AB73" s="13" t="b">
        <f t="shared" si="8"/>
        <v>0</v>
      </c>
      <c r="AC73" s="13" t="b">
        <f t="shared" si="9"/>
        <v>1</v>
      </c>
    </row>
    <row r="74" spans="1:29">
      <c r="A74" s="10" t="s">
        <v>63</v>
      </c>
      <c r="B74" s="12">
        <v>45667</v>
      </c>
      <c r="C74" s="10" t="s">
        <v>21</v>
      </c>
      <c r="D74" s="10" t="s">
        <v>224</v>
      </c>
      <c r="E74" s="10" t="s">
        <v>15</v>
      </c>
      <c r="F74" s="13">
        <v>21.09</v>
      </c>
      <c r="G74" s="13">
        <v>0.69</v>
      </c>
      <c r="H74" s="13">
        <f t="shared" si="5"/>
        <v>21.78</v>
      </c>
      <c r="I74" s="13">
        <f t="shared" si="6"/>
        <v>11.235000000000001</v>
      </c>
      <c r="J74" s="13"/>
      <c r="K74" s="13"/>
      <c r="L74" s="13"/>
      <c r="M74" s="13"/>
      <c r="N74" s="13"/>
      <c r="O74" s="13"/>
      <c r="P74" s="13"/>
      <c r="Q74" s="13"/>
      <c r="R74" s="13"/>
      <c r="S74" s="13"/>
      <c r="T74" s="13"/>
      <c r="U74" s="13"/>
      <c r="V74" s="13"/>
      <c r="W74" s="13"/>
      <c r="X74" s="13"/>
      <c r="Y74" s="13"/>
      <c r="Z74" s="13" t="str">
        <f t="shared" si="7"/>
        <v>low</v>
      </c>
      <c r="AA74" s="13" t="str" cm="1">
        <f t="array" ref="AA74">_xlfn.IFS(H74&gt;30,"high",H74&gt;20,"medium",H74&lt;=20,"low")</f>
        <v>medium</v>
      </c>
      <c r="AB74" s="13" t="b">
        <f t="shared" si="8"/>
        <v>1</v>
      </c>
      <c r="AC74" s="13" t="b">
        <f t="shared" si="9"/>
        <v>1</v>
      </c>
    </row>
    <row r="75" spans="1:29">
      <c r="A75" s="10" t="s">
        <v>250</v>
      </c>
      <c r="B75" s="12">
        <v>46120</v>
      </c>
      <c r="C75" s="10" t="s">
        <v>5</v>
      </c>
      <c r="D75" s="10" t="s">
        <v>224</v>
      </c>
      <c r="E75" s="10" t="s">
        <v>15</v>
      </c>
      <c r="F75" s="13">
        <v>7.36</v>
      </c>
      <c r="G75" s="13">
        <v>5.44</v>
      </c>
      <c r="H75" s="13">
        <f t="shared" si="5"/>
        <v>12.8</v>
      </c>
      <c r="I75" s="13">
        <f t="shared" si="6"/>
        <v>9.120000000000001</v>
      </c>
      <c r="J75" s="13"/>
      <c r="K75" s="13"/>
      <c r="L75" s="13"/>
      <c r="M75" s="13"/>
      <c r="N75" s="13"/>
      <c r="O75" s="13"/>
      <c r="P75" s="13"/>
      <c r="Q75" s="13"/>
      <c r="R75" s="13"/>
      <c r="S75" s="13"/>
      <c r="T75" s="13"/>
      <c r="U75" s="13"/>
      <c r="V75" s="13"/>
      <c r="W75" s="13"/>
      <c r="X75" s="13"/>
      <c r="Y75" s="13"/>
      <c r="Z75" s="13" t="str">
        <f t="shared" si="7"/>
        <v>low</v>
      </c>
      <c r="AA75" s="13" t="str" cm="1">
        <f t="array" ref="AA75">_xlfn.IFS(H75&gt;30,"high",H75&gt;20,"medium",H75&lt;=20,"low")</f>
        <v>low</v>
      </c>
      <c r="AB75" s="13" t="b">
        <f t="shared" si="8"/>
        <v>0</v>
      </c>
      <c r="AC75" s="13" t="b">
        <f t="shared" si="9"/>
        <v>1</v>
      </c>
    </row>
    <row r="76" spans="1:29">
      <c r="A76" s="10" t="s">
        <v>251</v>
      </c>
      <c r="B76" s="12">
        <v>45708</v>
      </c>
      <c r="C76" s="10" t="s">
        <v>19</v>
      </c>
      <c r="D76" s="10" t="s">
        <v>226</v>
      </c>
      <c r="E76" s="10" t="s">
        <v>15</v>
      </c>
      <c r="F76" s="13">
        <v>19.41</v>
      </c>
      <c r="G76" s="13">
        <v>12.78</v>
      </c>
      <c r="H76" s="13">
        <f t="shared" si="5"/>
        <v>32.19</v>
      </c>
      <c r="I76" s="13">
        <f t="shared" si="6"/>
        <v>22.484999999999999</v>
      </c>
      <c r="J76" s="13"/>
      <c r="K76" s="13"/>
      <c r="L76" s="13"/>
      <c r="M76" s="13"/>
      <c r="N76" s="13"/>
      <c r="O76" s="13"/>
      <c r="P76" s="13"/>
      <c r="Q76" s="13"/>
      <c r="R76" s="13"/>
      <c r="S76" s="13"/>
      <c r="T76" s="13"/>
      <c r="U76" s="13"/>
      <c r="V76" s="13"/>
      <c r="W76" s="13"/>
      <c r="X76" s="13"/>
      <c r="Y76" s="13"/>
      <c r="Z76" s="13" t="str">
        <f t="shared" si="7"/>
        <v>high</v>
      </c>
      <c r="AA76" s="13" t="str" cm="1">
        <f t="array" ref="AA76">_xlfn.IFS(H76&gt;30,"high",H76&gt;20,"medium",H76&lt;=20,"low")</f>
        <v>high</v>
      </c>
      <c r="AB76" s="13" t="b">
        <f t="shared" si="8"/>
        <v>1</v>
      </c>
      <c r="AC76" s="13" t="b">
        <f t="shared" si="9"/>
        <v>1</v>
      </c>
    </row>
    <row r="77" spans="1:29">
      <c r="A77" s="10" t="s">
        <v>253</v>
      </c>
      <c r="B77" s="12">
        <v>45998</v>
      </c>
      <c r="C77" s="10" t="s">
        <v>14</v>
      </c>
      <c r="D77" s="10" t="s">
        <v>224</v>
      </c>
      <c r="E77" s="10" t="s">
        <v>8</v>
      </c>
      <c r="F77" s="13">
        <v>48.61</v>
      </c>
      <c r="G77" s="13">
        <v>10.39</v>
      </c>
      <c r="H77" s="13">
        <f t="shared" si="5"/>
        <v>59</v>
      </c>
      <c r="I77" s="13">
        <f t="shared" si="6"/>
        <v>34.695</v>
      </c>
      <c r="J77" s="13"/>
      <c r="K77" s="13"/>
      <c r="L77" s="13"/>
      <c r="M77" s="13"/>
      <c r="N77" s="13"/>
      <c r="O77" s="13"/>
      <c r="P77" s="13"/>
      <c r="Q77" s="13"/>
      <c r="R77" s="13"/>
      <c r="S77" s="13"/>
      <c r="T77" s="13"/>
      <c r="U77" s="13"/>
      <c r="V77" s="13"/>
      <c r="W77" s="13"/>
      <c r="X77" s="13"/>
      <c r="Y77" s="13"/>
      <c r="Z77" s="13" t="str">
        <f t="shared" si="7"/>
        <v>high</v>
      </c>
      <c r="AA77" s="13" t="str" cm="1">
        <f t="array" ref="AA77">_xlfn.IFS(H77&gt;30,"high",H77&gt;20,"medium",H77&lt;=20,"low")</f>
        <v>high</v>
      </c>
      <c r="AB77" s="13" t="b">
        <f t="shared" si="8"/>
        <v>0</v>
      </c>
      <c r="AC77" s="13" t="b">
        <f t="shared" si="9"/>
        <v>1</v>
      </c>
    </row>
    <row r="78" spans="1:29">
      <c r="A78" s="10" t="s">
        <v>64</v>
      </c>
      <c r="B78" s="12">
        <v>45884</v>
      </c>
      <c r="C78" s="10" t="s">
        <v>14</v>
      </c>
      <c r="D78" s="10" t="s">
        <v>226</v>
      </c>
      <c r="E78" s="10" t="s">
        <v>8</v>
      </c>
      <c r="F78" s="13">
        <v>37.71</v>
      </c>
      <c r="G78" s="13">
        <v>2.93</v>
      </c>
      <c r="H78" s="13">
        <f t="shared" si="5"/>
        <v>40.64</v>
      </c>
      <c r="I78" s="13">
        <f t="shared" si="6"/>
        <v>21.785</v>
      </c>
      <c r="J78" s="13"/>
      <c r="K78" s="13"/>
      <c r="L78" s="13"/>
      <c r="M78" s="13"/>
      <c r="N78" s="13"/>
      <c r="O78" s="13"/>
      <c r="P78" s="13"/>
      <c r="Q78" s="13"/>
      <c r="R78" s="13"/>
      <c r="S78" s="13"/>
      <c r="T78" s="13"/>
      <c r="U78" s="13"/>
      <c r="V78" s="13"/>
      <c r="W78" s="13"/>
      <c r="X78" s="13"/>
      <c r="Y78" s="13"/>
      <c r="Z78" s="13" t="str">
        <f t="shared" si="7"/>
        <v>high</v>
      </c>
      <c r="AA78" s="13" t="str" cm="1">
        <f t="array" ref="AA78">_xlfn.IFS(H78&gt;30,"high",H78&gt;20,"medium",H78&lt;=20,"low")</f>
        <v>high</v>
      </c>
      <c r="AB78" s="13" t="b">
        <f t="shared" si="8"/>
        <v>1</v>
      </c>
      <c r="AC78" s="13" t="b">
        <f t="shared" si="9"/>
        <v>1</v>
      </c>
    </row>
    <row r="79" spans="1:29">
      <c r="A79" s="10" t="s">
        <v>254</v>
      </c>
      <c r="B79" s="12">
        <v>46044</v>
      </c>
      <c r="C79" s="10" t="s">
        <v>7</v>
      </c>
      <c r="D79" s="10" t="s">
        <v>252</v>
      </c>
      <c r="E79" s="10" t="s">
        <v>15</v>
      </c>
      <c r="F79" s="13">
        <v>19.84</v>
      </c>
      <c r="G79" s="13">
        <v>4.2300000000000004</v>
      </c>
      <c r="H79" s="13">
        <f t="shared" si="5"/>
        <v>24.07</v>
      </c>
      <c r="I79" s="13">
        <f t="shared" si="6"/>
        <v>14.15</v>
      </c>
      <c r="J79" s="13"/>
      <c r="K79" s="13"/>
      <c r="L79" s="13"/>
      <c r="M79" s="13"/>
      <c r="N79" s="13"/>
      <c r="O79" s="13"/>
      <c r="P79" s="13"/>
      <c r="Q79" s="13"/>
      <c r="R79" s="13"/>
      <c r="S79" s="13"/>
      <c r="T79" s="13"/>
      <c r="U79" s="13"/>
      <c r="V79" s="13"/>
      <c r="W79" s="13"/>
      <c r="X79" s="13"/>
      <c r="Y79" s="13"/>
      <c r="Z79" s="13" t="str">
        <f t="shared" si="7"/>
        <v>low</v>
      </c>
      <c r="AA79" s="13" t="str" cm="1">
        <f t="array" ref="AA79">_xlfn.IFS(H79&gt;30,"high",H79&gt;20,"medium",H79&lt;=20,"low")</f>
        <v>medium</v>
      </c>
      <c r="AB79" s="13" t="b">
        <f t="shared" si="8"/>
        <v>1</v>
      </c>
      <c r="AC79" s="13" t="b">
        <f t="shared" si="9"/>
        <v>1</v>
      </c>
    </row>
    <row r="80" spans="1:29">
      <c r="A80" s="10" t="s">
        <v>65</v>
      </c>
      <c r="B80" s="12">
        <v>45783</v>
      </c>
      <c r="C80" s="10" t="s">
        <v>21</v>
      </c>
      <c r="D80" s="10" t="s">
        <v>226</v>
      </c>
      <c r="E80" s="10" t="s">
        <v>15</v>
      </c>
      <c r="F80" s="13">
        <v>27.45</v>
      </c>
      <c r="G80" s="13">
        <v>5.09</v>
      </c>
      <c r="H80" s="13">
        <f t="shared" si="5"/>
        <v>32.54</v>
      </c>
      <c r="I80" s="13">
        <f t="shared" si="6"/>
        <v>18.814999999999998</v>
      </c>
      <c r="J80" s="13"/>
      <c r="K80" s="13"/>
      <c r="L80" s="13"/>
      <c r="M80" s="13"/>
      <c r="N80" s="13"/>
      <c r="O80" s="13"/>
      <c r="P80" s="13"/>
      <c r="Q80" s="13"/>
      <c r="R80" s="13"/>
      <c r="S80" s="13"/>
      <c r="T80" s="13"/>
      <c r="U80" s="13"/>
      <c r="V80" s="13"/>
      <c r="W80" s="13"/>
      <c r="X80" s="13"/>
      <c r="Y80" s="13"/>
      <c r="Z80" s="13" t="str">
        <f t="shared" si="7"/>
        <v>high</v>
      </c>
      <c r="AA80" s="13" t="str" cm="1">
        <f t="array" ref="AA80">_xlfn.IFS(H80&gt;30,"high",H80&gt;20,"medium",H80&lt;=20,"low")</f>
        <v>high</v>
      </c>
      <c r="AB80" s="13" t="b">
        <f t="shared" si="8"/>
        <v>1</v>
      </c>
      <c r="AC80" s="13" t="b">
        <f t="shared" si="9"/>
        <v>1</v>
      </c>
    </row>
    <row r="81" spans="1:29">
      <c r="A81" s="10" t="s">
        <v>255</v>
      </c>
      <c r="B81" s="12">
        <v>45972</v>
      </c>
      <c r="C81" s="10" t="s">
        <v>5</v>
      </c>
      <c r="D81" s="10" t="s">
        <v>226</v>
      </c>
      <c r="E81" s="10" t="s">
        <v>8</v>
      </c>
      <c r="F81" s="13">
        <v>63.54</v>
      </c>
      <c r="G81" s="13">
        <v>6.66</v>
      </c>
      <c r="H81" s="13">
        <f t="shared" si="5"/>
        <v>70.2</v>
      </c>
      <c r="I81" s="13">
        <f t="shared" si="6"/>
        <v>38.43</v>
      </c>
      <c r="J81" s="13"/>
      <c r="K81" s="13"/>
      <c r="L81" s="13"/>
      <c r="M81" s="13"/>
      <c r="N81" s="13"/>
      <c r="O81" s="13"/>
      <c r="P81" s="13"/>
      <c r="Q81" s="13"/>
      <c r="R81" s="13"/>
      <c r="S81" s="13"/>
      <c r="T81" s="13"/>
      <c r="U81" s="13"/>
      <c r="V81" s="13"/>
      <c r="W81" s="13"/>
      <c r="X81" s="13"/>
      <c r="Y81" s="13"/>
      <c r="Z81" s="13" t="str">
        <f t="shared" si="7"/>
        <v>high</v>
      </c>
      <c r="AA81" s="13" t="str" cm="1">
        <f t="array" ref="AA81">_xlfn.IFS(H81&gt;30,"high",H81&gt;20,"medium",H81&lt;=20,"low")</f>
        <v>high</v>
      </c>
      <c r="AB81" s="13" t="b">
        <f t="shared" si="8"/>
        <v>0</v>
      </c>
      <c r="AC81" s="13" t="b">
        <f t="shared" si="9"/>
        <v>1</v>
      </c>
    </row>
    <row r="82" spans="1:29">
      <c r="A82" s="10" t="s">
        <v>66</v>
      </c>
      <c r="B82" s="12">
        <v>45968</v>
      </c>
      <c r="C82" s="10" t="s">
        <v>7</v>
      </c>
      <c r="D82" s="10" t="s">
        <v>6</v>
      </c>
      <c r="E82" s="10" t="s">
        <v>12</v>
      </c>
      <c r="F82" s="13">
        <v>18.63</v>
      </c>
      <c r="G82" s="13">
        <v>1.61</v>
      </c>
      <c r="H82" s="13">
        <f t="shared" si="5"/>
        <v>20.239999999999998</v>
      </c>
      <c r="I82" s="13">
        <f t="shared" si="6"/>
        <v>10.924999999999999</v>
      </c>
      <c r="J82" s="13"/>
      <c r="K82" s="13"/>
      <c r="L82" s="13"/>
      <c r="M82" s="13"/>
      <c r="N82" s="13"/>
      <c r="O82" s="13"/>
      <c r="P82" s="13"/>
      <c r="Q82" s="13"/>
      <c r="R82" s="13"/>
      <c r="S82" s="13"/>
      <c r="T82" s="13"/>
      <c r="U82" s="13"/>
      <c r="V82" s="13"/>
      <c r="W82" s="13"/>
      <c r="X82" s="13"/>
      <c r="Y82" s="13"/>
      <c r="Z82" s="13" t="str">
        <f t="shared" si="7"/>
        <v>low</v>
      </c>
      <c r="AA82" s="13" t="str" cm="1">
        <f t="array" ref="AA82">_xlfn.IFS(H82&gt;30,"high",H82&gt;20,"medium",H82&lt;=20,"low")</f>
        <v>medium</v>
      </c>
      <c r="AB82" s="13" t="b">
        <f t="shared" si="8"/>
        <v>1</v>
      </c>
      <c r="AC82" s="13" t="b">
        <f t="shared" si="9"/>
        <v>1</v>
      </c>
    </row>
    <row r="83" spans="1:29">
      <c r="A83" s="10" t="s">
        <v>67</v>
      </c>
      <c r="B83" s="12">
        <v>46025</v>
      </c>
      <c r="C83" s="10" t="s">
        <v>5</v>
      </c>
      <c r="D83" s="10" t="s">
        <v>224</v>
      </c>
      <c r="E83" s="10" t="s">
        <v>15</v>
      </c>
      <c r="F83" s="13">
        <v>68.34</v>
      </c>
      <c r="G83" s="13">
        <v>1.79</v>
      </c>
      <c r="H83" s="13">
        <f t="shared" si="5"/>
        <v>70.13000000000001</v>
      </c>
      <c r="I83" s="13">
        <f t="shared" si="6"/>
        <v>35.960000000000008</v>
      </c>
      <c r="J83" s="13"/>
      <c r="K83" s="13"/>
      <c r="L83" s="13"/>
      <c r="M83" s="13"/>
      <c r="N83" s="13"/>
      <c r="O83" s="13"/>
      <c r="P83" s="13"/>
      <c r="Q83" s="13"/>
      <c r="R83" s="13"/>
      <c r="S83" s="13"/>
      <c r="T83" s="13"/>
      <c r="U83" s="13"/>
      <c r="V83" s="13"/>
      <c r="W83" s="13"/>
      <c r="X83" s="13"/>
      <c r="Y83" s="13"/>
      <c r="Z83" s="13" t="str">
        <f t="shared" si="7"/>
        <v>high</v>
      </c>
      <c r="AA83" s="13" t="str" cm="1">
        <f t="array" ref="AA83">_xlfn.IFS(H83&gt;30,"high",H83&gt;20,"medium",H83&lt;=20,"low")</f>
        <v>high</v>
      </c>
      <c r="AB83" s="13" t="b">
        <f t="shared" si="8"/>
        <v>0</v>
      </c>
      <c r="AC83" s="13" t="b">
        <f t="shared" si="9"/>
        <v>1</v>
      </c>
    </row>
    <row r="84" spans="1:29">
      <c r="A84" s="10" t="s">
        <v>68</v>
      </c>
      <c r="B84" s="12">
        <v>45719</v>
      </c>
      <c r="C84" s="10" t="s">
        <v>14</v>
      </c>
      <c r="D84" s="10" t="s">
        <v>226</v>
      </c>
      <c r="E84" s="10" t="s">
        <v>8</v>
      </c>
      <c r="F84" s="13">
        <v>36.9</v>
      </c>
      <c r="G84" s="13">
        <v>0.77</v>
      </c>
      <c r="H84" s="13">
        <f t="shared" si="5"/>
        <v>37.67</v>
      </c>
      <c r="I84" s="13">
        <f t="shared" si="6"/>
        <v>19.220000000000002</v>
      </c>
      <c r="J84" s="13"/>
      <c r="K84" s="13"/>
      <c r="L84" s="13"/>
      <c r="M84" s="13"/>
      <c r="N84" s="13"/>
      <c r="O84" s="13"/>
      <c r="P84" s="13"/>
      <c r="Q84" s="13"/>
      <c r="R84" s="13"/>
      <c r="S84" s="13"/>
      <c r="T84" s="13"/>
      <c r="U84" s="13"/>
      <c r="V84" s="13"/>
      <c r="W84" s="13"/>
      <c r="X84" s="13"/>
      <c r="Y84" s="13"/>
      <c r="Z84" s="13" t="str">
        <f t="shared" si="7"/>
        <v>high</v>
      </c>
      <c r="AA84" s="13" t="str" cm="1">
        <f t="array" ref="AA84">_xlfn.IFS(H84&gt;30,"high",H84&gt;20,"medium",H84&lt;=20,"low")</f>
        <v>high</v>
      </c>
      <c r="AB84" s="13" t="b">
        <f t="shared" si="8"/>
        <v>1</v>
      </c>
      <c r="AC84" s="13" t="b">
        <f t="shared" si="9"/>
        <v>1</v>
      </c>
    </row>
    <row r="85" spans="1:29">
      <c r="A85" s="10" t="s">
        <v>69</v>
      </c>
      <c r="B85" s="12">
        <v>46199</v>
      </c>
      <c r="C85" s="10" t="s">
        <v>5</v>
      </c>
      <c r="D85" s="10" t="s">
        <v>226</v>
      </c>
      <c r="E85" s="10" t="s">
        <v>15</v>
      </c>
      <c r="F85" s="13">
        <v>37.29</v>
      </c>
      <c r="G85" s="13">
        <v>12.42</v>
      </c>
      <c r="H85" s="13">
        <f t="shared" si="5"/>
        <v>49.71</v>
      </c>
      <c r="I85" s="13">
        <f t="shared" si="6"/>
        <v>31.065000000000001</v>
      </c>
      <c r="J85" s="13"/>
      <c r="K85" s="13"/>
      <c r="L85" s="13"/>
      <c r="M85" s="13"/>
      <c r="N85" s="13"/>
      <c r="O85" s="13"/>
      <c r="P85" s="13"/>
      <c r="Q85" s="13"/>
      <c r="R85" s="13"/>
      <c r="S85" s="13"/>
      <c r="T85" s="13"/>
      <c r="U85" s="13"/>
      <c r="V85" s="13"/>
      <c r="W85" s="13"/>
      <c r="X85" s="13"/>
      <c r="Y85" s="13"/>
      <c r="Z85" s="13" t="str">
        <f t="shared" si="7"/>
        <v>high</v>
      </c>
      <c r="AA85" s="13" t="str" cm="1">
        <f t="array" ref="AA85">_xlfn.IFS(H85&gt;30,"high",H85&gt;20,"medium",H85&lt;=20,"low")</f>
        <v>high</v>
      </c>
      <c r="AB85" s="13" t="b">
        <f t="shared" si="8"/>
        <v>0</v>
      </c>
      <c r="AC85" s="13" t="b">
        <f t="shared" si="9"/>
        <v>1</v>
      </c>
    </row>
    <row r="86" spans="1:29">
      <c r="A86" s="10" t="s">
        <v>256</v>
      </c>
      <c r="B86" s="12">
        <v>45661</v>
      </c>
      <c r="C86" s="10" t="s">
        <v>9</v>
      </c>
      <c r="D86" s="10" t="s">
        <v>224</v>
      </c>
      <c r="E86" s="10" t="s">
        <v>12</v>
      </c>
      <c r="F86" s="13">
        <v>15.32</v>
      </c>
      <c r="G86" s="13">
        <v>4.79</v>
      </c>
      <c r="H86" s="13">
        <f t="shared" si="5"/>
        <v>20.11</v>
      </c>
      <c r="I86" s="13">
        <f t="shared" si="6"/>
        <v>12.45</v>
      </c>
      <c r="J86" s="13"/>
      <c r="K86" s="13"/>
      <c r="L86" s="13"/>
      <c r="M86" s="13"/>
      <c r="N86" s="13"/>
      <c r="O86" s="13"/>
      <c r="P86" s="13"/>
      <c r="Q86" s="13"/>
      <c r="R86" s="13"/>
      <c r="S86" s="13"/>
      <c r="T86" s="13"/>
      <c r="U86" s="13"/>
      <c r="V86" s="13"/>
      <c r="W86" s="13"/>
      <c r="X86" s="13"/>
      <c r="Y86" s="13"/>
      <c r="Z86" s="13" t="str">
        <f t="shared" si="7"/>
        <v>low</v>
      </c>
      <c r="AA86" s="13" t="str" cm="1">
        <f t="array" ref="AA86">_xlfn.IFS(H86&gt;30,"high",H86&gt;20,"medium",H86&lt;=20,"low")</f>
        <v>medium</v>
      </c>
      <c r="AB86" s="13" t="b">
        <f t="shared" si="8"/>
        <v>1</v>
      </c>
      <c r="AC86" s="13" t="b">
        <f t="shared" si="9"/>
        <v>1</v>
      </c>
    </row>
    <row r="87" spans="1:29">
      <c r="A87" s="10" t="s">
        <v>70</v>
      </c>
      <c r="B87" s="12">
        <v>46035</v>
      </c>
      <c r="C87" s="10" t="s">
        <v>14</v>
      </c>
      <c r="D87" s="10" t="s">
        <v>226</v>
      </c>
      <c r="E87" s="10" t="s">
        <v>15</v>
      </c>
      <c r="F87" s="13">
        <v>13.03</v>
      </c>
      <c r="G87" s="13">
        <v>5.97</v>
      </c>
      <c r="H87" s="13">
        <f t="shared" si="5"/>
        <v>19</v>
      </c>
      <c r="I87" s="13">
        <f t="shared" si="6"/>
        <v>12.484999999999999</v>
      </c>
      <c r="J87" s="13"/>
      <c r="K87" s="13"/>
      <c r="L87" s="13"/>
      <c r="M87" s="13"/>
      <c r="N87" s="13"/>
      <c r="O87" s="13"/>
      <c r="P87" s="13"/>
      <c r="Q87" s="13"/>
      <c r="R87" s="13"/>
      <c r="S87" s="13"/>
      <c r="T87" s="13"/>
      <c r="U87" s="13"/>
      <c r="V87" s="13"/>
      <c r="W87" s="13"/>
      <c r="X87" s="13"/>
      <c r="Y87" s="13"/>
      <c r="Z87" s="13" t="str">
        <f t="shared" si="7"/>
        <v>low</v>
      </c>
      <c r="AA87" s="13" t="str" cm="1">
        <f t="array" ref="AA87">_xlfn.IFS(H87&gt;30,"high",H87&gt;20,"medium",H87&lt;=20,"low")</f>
        <v>low</v>
      </c>
      <c r="AB87" s="13" t="b">
        <f t="shared" si="8"/>
        <v>1</v>
      </c>
      <c r="AC87" s="13" t="b">
        <f t="shared" si="9"/>
        <v>1</v>
      </c>
    </row>
    <row r="88" spans="1:29">
      <c r="A88" s="10" t="s">
        <v>71</v>
      </c>
      <c r="B88" s="12">
        <v>45934</v>
      </c>
      <c r="C88" s="10" t="s">
        <v>19</v>
      </c>
      <c r="D88" s="10" t="s">
        <v>226</v>
      </c>
      <c r="E88" s="10" t="s">
        <v>12</v>
      </c>
      <c r="F88" s="13">
        <v>22.15</v>
      </c>
      <c r="G88" s="13">
        <v>4.2699999999999996</v>
      </c>
      <c r="H88" s="13">
        <f t="shared" si="5"/>
        <v>26.419999999999998</v>
      </c>
      <c r="I88" s="13">
        <f t="shared" si="6"/>
        <v>15.344999999999999</v>
      </c>
      <c r="J88" s="13"/>
      <c r="K88" s="13"/>
      <c r="L88" s="13"/>
      <c r="M88" s="13"/>
      <c r="N88" s="13"/>
      <c r="O88" s="13"/>
      <c r="P88" s="13"/>
      <c r="Q88" s="13"/>
      <c r="R88" s="13"/>
      <c r="S88" s="13"/>
      <c r="T88" s="13"/>
      <c r="U88" s="13"/>
      <c r="V88" s="13"/>
      <c r="W88" s="13"/>
      <c r="X88" s="13"/>
      <c r="Y88" s="13"/>
      <c r="Z88" s="13" t="str">
        <f t="shared" si="7"/>
        <v>low</v>
      </c>
      <c r="AA88" s="13" t="str" cm="1">
        <f t="array" ref="AA88">_xlfn.IFS(H88&gt;30,"high",H88&gt;20,"medium",H88&lt;=20,"low")</f>
        <v>medium</v>
      </c>
      <c r="AB88" s="13" t="b">
        <f t="shared" si="8"/>
        <v>1</v>
      </c>
      <c r="AC88" s="13" t="b">
        <f t="shared" si="9"/>
        <v>1</v>
      </c>
    </row>
    <row r="89" spans="1:29">
      <c r="A89" s="10" t="s">
        <v>72</v>
      </c>
      <c r="B89" s="12">
        <v>45800</v>
      </c>
      <c r="C89" s="10" t="s">
        <v>5</v>
      </c>
      <c r="D89" s="10" t="s">
        <v>224</v>
      </c>
      <c r="E89" s="10" t="s">
        <v>8</v>
      </c>
      <c r="F89" s="13">
        <v>25.97</v>
      </c>
      <c r="G89" s="13">
        <v>33</v>
      </c>
      <c r="H89" s="13">
        <f t="shared" si="5"/>
        <v>58.97</v>
      </c>
      <c r="I89" s="13">
        <f t="shared" si="6"/>
        <v>45.984999999999999</v>
      </c>
      <c r="J89" s="13"/>
      <c r="K89" s="13"/>
      <c r="L89" s="13"/>
      <c r="M89" s="13"/>
      <c r="N89" s="13"/>
      <c r="O89" s="13"/>
      <c r="P89" s="13"/>
      <c r="Q89" s="13"/>
      <c r="R89" s="13"/>
      <c r="S89" s="13"/>
      <c r="T89" s="13"/>
      <c r="U89" s="13"/>
      <c r="V89" s="13"/>
      <c r="W89" s="13"/>
      <c r="X89" s="13"/>
      <c r="Y89" s="13"/>
      <c r="Z89" s="13" t="str">
        <f t="shared" si="7"/>
        <v>high</v>
      </c>
      <c r="AA89" s="13" t="str" cm="1">
        <f t="array" ref="AA89">_xlfn.IFS(H89&gt;30,"high",H89&gt;20,"medium",H89&lt;=20,"low")</f>
        <v>high</v>
      </c>
      <c r="AB89" s="13" t="b">
        <f t="shared" si="8"/>
        <v>0</v>
      </c>
      <c r="AC89" s="13" t="b">
        <f t="shared" si="9"/>
        <v>1</v>
      </c>
    </row>
    <row r="90" spans="1:29">
      <c r="A90" s="10" t="s">
        <v>73</v>
      </c>
      <c r="B90" s="12">
        <v>45836</v>
      </c>
      <c r="C90" s="10" t="s">
        <v>5</v>
      </c>
      <c r="D90" s="10" t="s">
        <v>226</v>
      </c>
      <c r="E90" s="10" t="s">
        <v>8</v>
      </c>
      <c r="F90" s="13">
        <v>22.12</v>
      </c>
      <c r="G90" s="13">
        <v>6.65</v>
      </c>
      <c r="H90" s="13">
        <f t="shared" si="5"/>
        <v>28.770000000000003</v>
      </c>
      <c r="I90" s="13">
        <f t="shared" si="6"/>
        <v>17.71</v>
      </c>
      <c r="J90" s="13"/>
      <c r="K90" s="13"/>
      <c r="L90" s="13"/>
      <c r="M90" s="13"/>
      <c r="N90" s="13"/>
      <c r="O90" s="13"/>
      <c r="P90" s="13"/>
      <c r="Q90" s="13"/>
      <c r="R90" s="13"/>
      <c r="S90" s="13"/>
      <c r="T90" s="13"/>
      <c r="U90" s="13"/>
      <c r="V90" s="13"/>
      <c r="W90" s="13"/>
      <c r="X90" s="13"/>
      <c r="Y90" s="13"/>
      <c r="Z90" s="13" t="str">
        <f t="shared" si="7"/>
        <v>low</v>
      </c>
      <c r="AA90" s="13" t="str" cm="1">
        <f t="array" ref="AA90">_xlfn.IFS(H90&gt;30,"high",H90&gt;20,"medium",H90&lt;=20,"low")</f>
        <v>medium</v>
      </c>
      <c r="AB90" s="13" t="b">
        <f t="shared" si="8"/>
        <v>1</v>
      </c>
      <c r="AC90" s="13" t="b">
        <f t="shared" si="9"/>
        <v>1</v>
      </c>
    </row>
    <row r="91" spans="1:29">
      <c r="A91" s="10" t="s">
        <v>74</v>
      </c>
      <c r="B91" s="12">
        <v>45663</v>
      </c>
      <c r="C91" s="10" t="s">
        <v>19</v>
      </c>
      <c r="D91" s="10" t="s">
        <v>6</v>
      </c>
      <c r="E91" s="10" t="s">
        <v>12</v>
      </c>
      <c r="F91" s="13">
        <v>23.74</v>
      </c>
      <c r="G91" s="13">
        <v>1.77</v>
      </c>
      <c r="H91" s="13">
        <f t="shared" si="5"/>
        <v>25.509999999999998</v>
      </c>
      <c r="I91" s="13">
        <f t="shared" si="6"/>
        <v>13.639999999999999</v>
      </c>
      <c r="J91" s="13"/>
      <c r="K91" s="13"/>
      <c r="L91" s="13"/>
      <c r="M91" s="13"/>
      <c r="N91" s="13"/>
      <c r="O91" s="13"/>
      <c r="P91" s="13"/>
      <c r="Q91" s="13"/>
      <c r="R91" s="13"/>
      <c r="S91" s="13"/>
      <c r="T91" s="13"/>
      <c r="U91" s="13"/>
      <c r="V91" s="13"/>
      <c r="W91" s="13"/>
      <c r="X91" s="13"/>
      <c r="Y91" s="13"/>
      <c r="Z91" s="13" t="str">
        <f t="shared" si="7"/>
        <v>low</v>
      </c>
      <c r="AA91" s="13" t="str" cm="1">
        <f t="array" ref="AA91">_xlfn.IFS(H91&gt;30,"high",H91&gt;20,"medium",H91&lt;=20,"low")</f>
        <v>medium</v>
      </c>
      <c r="AB91" s="13" t="b">
        <f t="shared" si="8"/>
        <v>1</v>
      </c>
      <c r="AC91" s="13" t="b">
        <f t="shared" si="9"/>
        <v>1</v>
      </c>
    </row>
    <row r="92" spans="1:29">
      <c r="A92" s="10" t="s">
        <v>257</v>
      </c>
      <c r="B92" s="12">
        <v>45728</v>
      </c>
      <c r="C92" s="10" t="s">
        <v>5</v>
      </c>
      <c r="D92" s="10" t="s">
        <v>226</v>
      </c>
      <c r="E92" s="10" t="s">
        <v>6</v>
      </c>
      <c r="F92" s="13">
        <v>66.98</v>
      </c>
      <c r="G92" s="13">
        <v>5.21</v>
      </c>
      <c r="H92" s="13">
        <f t="shared" si="5"/>
        <v>72.19</v>
      </c>
      <c r="I92" s="13">
        <f t="shared" si="6"/>
        <v>38.699999999999996</v>
      </c>
      <c r="J92" s="13"/>
      <c r="K92" s="13"/>
      <c r="L92" s="13"/>
      <c r="M92" s="13"/>
      <c r="N92" s="13"/>
      <c r="O92" s="13"/>
      <c r="P92" s="13"/>
      <c r="Q92" s="13"/>
      <c r="R92" s="13"/>
      <c r="S92" s="13"/>
      <c r="T92" s="13"/>
      <c r="U92" s="13"/>
      <c r="V92" s="13"/>
      <c r="W92" s="13"/>
      <c r="X92" s="13"/>
      <c r="Y92" s="13"/>
      <c r="Z92" s="13" t="str">
        <f t="shared" si="7"/>
        <v>high</v>
      </c>
      <c r="AA92" s="13" t="str" cm="1">
        <f t="array" ref="AA92">_xlfn.IFS(H92&gt;30,"high",H92&gt;20,"medium",H92&lt;=20,"low")</f>
        <v>high</v>
      </c>
      <c r="AB92" s="13" t="b">
        <f t="shared" si="8"/>
        <v>0</v>
      </c>
      <c r="AC92" s="13" t="b">
        <f t="shared" si="9"/>
        <v>1</v>
      </c>
    </row>
    <row r="93" spans="1:29">
      <c r="A93" s="10" t="s">
        <v>75</v>
      </c>
      <c r="B93" s="12">
        <v>45917</v>
      </c>
      <c r="C93" s="10" t="s">
        <v>7</v>
      </c>
      <c r="D93" s="10" t="s">
        <v>226</v>
      </c>
      <c r="E93" s="10" t="s">
        <v>15</v>
      </c>
      <c r="F93" s="13">
        <v>27.37</v>
      </c>
      <c r="G93" s="13">
        <v>3.15</v>
      </c>
      <c r="H93" s="13">
        <f t="shared" si="5"/>
        <v>30.52</v>
      </c>
      <c r="I93" s="13">
        <f t="shared" si="6"/>
        <v>16.835000000000001</v>
      </c>
      <c r="J93" s="13"/>
      <c r="K93" s="13"/>
      <c r="L93" s="13"/>
      <c r="M93" s="13"/>
      <c r="N93" s="13"/>
      <c r="O93" s="13"/>
      <c r="P93" s="13"/>
      <c r="Q93" s="13"/>
      <c r="R93" s="13"/>
      <c r="S93" s="13"/>
      <c r="T93" s="13"/>
      <c r="U93" s="13"/>
      <c r="V93" s="13"/>
      <c r="W93" s="13"/>
      <c r="X93" s="13"/>
      <c r="Y93" s="13"/>
      <c r="Z93" s="13" t="str">
        <f t="shared" si="7"/>
        <v>high</v>
      </c>
      <c r="AA93" s="13" t="str" cm="1">
        <f t="array" ref="AA93">_xlfn.IFS(H93&gt;30,"high",H93&gt;20,"medium",H93&lt;=20,"low")</f>
        <v>high</v>
      </c>
      <c r="AB93" s="13" t="b">
        <f t="shared" si="8"/>
        <v>1</v>
      </c>
      <c r="AC93" s="13" t="b">
        <f t="shared" si="9"/>
        <v>1</v>
      </c>
    </row>
    <row r="94" spans="1:29">
      <c r="A94" s="10" t="s">
        <v>76</v>
      </c>
      <c r="B94" s="12">
        <v>45669</v>
      </c>
      <c r="C94" s="10" t="s">
        <v>14</v>
      </c>
      <c r="D94" s="10" t="s">
        <v>226</v>
      </c>
      <c r="E94" s="10" t="s">
        <v>8</v>
      </c>
      <c r="F94" s="13">
        <v>14.34</v>
      </c>
      <c r="G94" s="13">
        <v>11.76</v>
      </c>
      <c r="H94" s="13">
        <f t="shared" si="5"/>
        <v>26.1</v>
      </c>
      <c r="I94" s="13">
        <f t="shared" si="6"/>
        <v>18.93</v>
      </c>
      <c r="J94" s="13"/>
      <c r="K94" s="13"/>
      <c r="L94" s="13"/>
      <c r="M94" s="13"/>
      <c r="N94" s="13"/>
      <c r="O94" s="13"/>
      <c r="P94" s="13"/>
      <c r="Q94" s="13"/>
      <c r="R94" s="13"/>
      <c r="S94" s="13"/>
      <c r="T94" s="13"/>
      <c r="U94" s="13"/>
      <c r="V94" s="13"/>
      <c r="W94" s="13"/>
      <c r="X94" s="13"/>
      <c r="Y94" s="13"/>
      <c r="Z94" s="13" t="str">
        <f t="shared" si="7"/>
        <v>low</v>
      </c>
      <c r="AA94" s="13" t="str" cm="1">
        <f t="array" ref="AA94">_xlfn.IFS(H94&gt;30,"high",H94&gt;20,"medium",H94&lt;=20,"low")</f>
        <v>medium</v>
      </c>
      <c r="AB94" s="13" t="b">
        <f t="shared" si="8"/>
        <v>1</v>
      </c>
      <c r="AC94" s="13" t="b">
        <f t="shared" si="9"/>
        <v>1</v>
      </c>
    </row>
    <row r="95" spans="1:29">
      <c r="A95" s="10" t="s">
        <v>77</v>
      </c>
      <c r="B95" s="12">
        <v>45986</v>
      </c>
      <c r="C95" s="10" t="s">
        <v>19</v>
      </c>
      <c r="D95" s="10" t="s">
        <v>224</v>
      </c>
      <c r="E95" s="10" t="s">
        <v>8</v>
      </c>
      <c r="F95" s="13">
        <v>41.73</v>
      </c>
      <c r="G95" s="13">
        <v>1.23</v>
      </c>
      <c r="H95" s="13">
        <f t="shared" si="5"/>
        <v>42.959999999999994</v>
      </c>
      <c r="I95" s="13">
        <f t="shared" si="6"/>
        <v>22.094999999999995</v>
      </c>
      <c r="J95" s="13"/>
      <c r="K95" s="13"/>
      <c r="L95" s="13"/>
      <c r="M95" s="13"/>
      <c r="N95" s="13"/>
      <c r="O95" s="13"/>
      <c r="P95" s="13"/>
      <c r="Q95" s="13"/>
      <c r="R95" s="13"/>
      <c r="S95" s="13"/>
      <c r="T95" s="13"/>
      <c r="U95" s="13"/>
      <c r="V95" s="13"/>
      <c r="W95" s="13"/>
      <c r="X95" s="13"/>
      <c r="Y95" s="13"/>
      <c r="Z95" s="13" t="str">
        <f t="shared" si="7"/>
        <v>high</v>
      </c>
      <c r="AA95" s="13" t="str" cm="1">
        <f t="array" ref="AA95">_xlfn.IFS(H95&gt;30,"high",H95&gt;20,"medium",H95&lt;=20,"low")</f>
        <v>high</v>
      </c>
      <c r="AB95" s="13" t="b">
        <f t="shared" si="8"/>
        <v>1</v>
      </c>
      <c r="AC95" s="13" t="b">
        <f t="shared" si="9"/>
        <v>1</v>
      </c>
    </row>
    <row r="96" spans="1:29">
      <c r="A96" s="10" t="s">
        <v>258</v>
      </c>
      <c r="B96" s="12">
        <v>45890</v>
      </c>
      <c r="C96" s="10" t="s">
        <v>14</v>
      </c>
      <c r="D96" s="10" t="s">
        <v>6</v>
      </c>
      <c r="E96" s="10" t="s">
        <v>15</v>
      </c>
      <c r="F96" s="13">
        <v>11.1</v>
      </c>
      <c r="G96" s="13">
        <v>4.2300000000000004</v>
      </c>
      <c r="H96" s="13">
        <f t="shared" si="5"/>
        <v>15.33</v>
      </c>
      <c r="I96" s="13">
        <f t="shared" si="6"/>
        <v>9.7800000000000011</v>
      </c>
      <c r="J96" s="13"/>
      <c r="K96" s="13"/>
      <c r="L96" s="13"/>
      <c r="M96" s="13"/>
      <c r="N96" s="13"/>
      <c r="O96" s="13"/>
      <c r="P96" s="13"/>
      <c r="Q96" s="13"/>
      <c r="R96" s="13"/>
      <c r="S96" s="13"/>
      <c r="T96" s="13"/>
      <c r="U96" s="13"/>
      <c r="V96" s="13"/>
      <c r="W96" s="13"/>
      <c r="X96" s="13"/>
      <c r="Y96" s="13"/>
      <c r="Z96" s="13" t="str">
        <f t="shared" si="7"/>
        <v>low</v>
      </c>
      <c r="AA96" s="13" t="str" cm="1">
        <f t="array" ref="AA96">_xlfn.IFS(H96&gt;30,"high",H96&gt;20,"medium",H96&lt;=20,"low")</f>
        <v>low</v>
      </c>
      <c r="AB96" s="13" t="b">
        <f t="shared" si="8"/>
        <v>0</v>
      </c>
      <c r="AC96" s="13" t="b">
        <f t="shared" si="9"/>
        <v>1</v>
      </c>
    </row>
    <row r="97" spans="1:29">
      <c r="A97" s="10" t="s">
        <v>78</v>
      </c>
      <c r="B97" s="12">
        <v>45921</v>
      </c>
      <c r="C97" s="10" t="s">
        <v>5</v>
      </c>
      <c r="D97" s="10" t="s">
        <v>226</v>
      </c>
      <c r="E97" s="10" t="s">
        <v>15</v>
      </c>
      <c r="F97" s="13">
        <v>41.8</v>
      </c>
      <c r="G97" s="13">
        <v>4.54</v>
      </c>
      <c r="H97" s="13">
        <f t="shared" si="5"/>
        <v>46.339999999999996</v>
      </c>
      <c r="I97" s="13">
        <f t="shared" si="6"/>
        <v>25.439999999999998</v>
      </c>
      <c r="J97" s="13"/>
      <c r="K97" s="13"/>
      <c r="L97" s="13"/>
      <c r="M97" s="13"/>
      <c r="N97" s="13"/>
      <c r="O97" s="13"/>
      <c r="P97" s="13"/>
      <c r="Q97" s="13"/>
      <c r="R97" s="13"/>
      <c r="S97" s="13"/>
      <c r="T97" s="13"/>
      <c r="U97" s="13"/>
      <c r="V97" s="13"/>
      <c r="W97" s="13"/>
      <c r="X97" s="13"/>
      <c r="Y97" s="13"/>
      <c r="Z97" s="13" t="str">
        <f t="shared" si="7"/>
        <v>high</v>
      </c>
      <c r="AA97" s="13" t="str" cm="1">
        <f t="array" ref="AA97">_xlfn.IFS(H97&gt;30,"high",H97&gt;20,"medium",H97&lt;=20,"low")</f>
        <v>high</v>
      </c>
      <c r="AB97" s="13" t="b">
        <f t="shared" si="8"/>
        <v>1</v>
      </c>
      <c r="AC97" s="13" t="b">
        <f t="shared" si="9"/>
        <v>1</v>
      </c>
    </row>
    <row r="98" spans="1:29">
      <c r="A98" s="10" t="s">
        <v>79</v>
      </c>
      <c r="B98" s="12">
        <v>46204</v>
      </c>
      <c r="C98" s="10" t="s">
        <v>7</v>
      </c>
      <c r="D98" s="10" t="s">
        <v>224</v>
      </c>
      <c r="E98" s="10" t="s">
        <v>15</v>
      </c>
      <c r="F98" s="13">
        <v>35.31</v>
      </c>
      <c r="G98" s="13">
        <v>10.27</v>
      </c>
      <c r="H98" s="13">
        <f t="shared" si="5"/>
        <v>45.58</v>
      </c>
      <c r="I98" s="13">
        <f t="shared" si="6"/>
        <v>27.924999999999997</v>
      </c>
      <c r="J98" s="13"/>
      <c r="K98" s="13"/>
      <c r="L98" s="13"/>
      <c r="M98" s="13"/>
      <c r="N98" s="13"/>
      <c r="O98" s="13"/>
      <c r="P98" s="13"/>
      <c r="Q98" s="13"/>
      <c r="R98" s="13"/>
      <c r="S98" s="13"/>
      <c r="T98" s="13"/>
      <c r="U98" s="13"/>
      <c r="V98" s="13"/>
      <c r="W98" s="13"/>
      <c r="X98" s="13"/>
      <c r="Y98" s="13"/>
      <c r="Z98" s="13" t="str">
        <f t="shared" si="7"/>
        <v>high</v>
      </c>
      <c r="AA98" s="13" t="str" cm="1">
        <f t="array" ref="AA98">_xlfn.IFS(H98&gt;30,"high",H98&gt;20,"medium",H98&lt;=20,"low")</f>
        <v>high</v>
      </c>
      <c r="AB98" s="13" t="b">
        <f t="shared" si="8"/>
        <v>1</v>
      </c>
      <c r="AC98" s="13" t="b">
        <f t="shared" si="9"/>
        <v>1</v>
      </c>
    </row>
    <row r="99" spans="1:29">
      <c r="A99" s="10" t="s">
        <v>80</v>
      </c>
      <c r="B99" s="12">
        <v>45713</v>
      </c>
      <c r="C99" s="10" t="s">
        <v>21</v>
      </c>
      <c r="D99" s="10" t="s">
        <v>226</v>
      </c>
      <c r="E99" s="10" t="s">
        <v>12</v>
      </c>
      <c r="F99" s="13">
        <v>52.67</v>
      </c>
      <c r="G99" s="13">
        <v>8.3699999999999992</v>
      </c>
      <c r="H99" s="13">
        <f t="shared" si="5"/>
        <v>61.04</v>
      </c>
      <c r="I99" s="13">
        <f t="shared" si="6"/>
        <v>34.704999999999998</v>
      </c>
      <c r="J99" s="13"/>
      <c r="K99" s="13"/>
      <c r="L99" s="13"/>
      <c r="M99" s="13"/>
      <c r="N99" s="13"/>
      <c r="O99" s="13"/>
      <c r="P99" s="13"/>
      <c r="Q99" s="13"/>
      <c r="R99" s="13"/>
      <c r="S99" s="13"/>
      <c r="T99" s="13"/>
      <c r="U99" s="13"/>
      <c r="V99" s="13"/>
      <c r="W99" s="13"/>
      <c r="X99" s="13"/>
      <c r="Y99" s="13"/>
      <c r="Z99" s="13" t="str">
        <f t="shared" si="7"/>
        <v>high</v>
      </c>
      <c r="AA99" s="13" t="str" cm="1">
        <f t="array" ref="AA99">_xlfn.IFS(H99&gt;30,"high",H99&gt;20,"medium",H99&lt;=20,"low")</f>
        <v>high</v>
      </c>
      <c r="AB99" s="13" t="b">
        <f t="shared" si="8"/>
        <v>0</v>
      </c>
      <c r="AC99" s="13" t="b">
        <f t="shared" si="9"/>
        <v>1</v>
      </c>
    </row>
    <row r="100" spans="1:29">
      <c r="A100" s="10" t="s">
        <v>81</v>
      </c>
      <c r="B100" s="12">
        <v>45734</v>
      </c>
      <c r="C100" s="10" t="s">
        <v>5</v>
      </c>
      <c r="D100" s="10" t="s">
        <v>226</v>
      </c>
      <c r="E100" s="10" t="s">
        <v>15</v>
      </c>
      <c r="F100" s="13">
        <v>23.54</v>
      </c>
      <c r="G100" s="13">
        <v>12.47</v>
      </c>
      <c r="H100" s="13">
        <f t="shared" si="5"/>
        <v>36.01</v>
      </c>
      <c r="I100" s="13">
        <f t="shared" si="6"/>
        <v>24.24</v>
      </c>
      <c r="J100" s="13"/>
      <c r="K100" s="13"/>
      <c r="L100" s="13"/>
      <c r="M100" s="13"/>
      <c r="N100" s="13"/>
      <c r="O100" s="13"/>
      <c r="P100" s="13"/>
      <c r="Q100" s="13"/>
      <c r="R100" s="13"/>
      <c r="S100" s="13"/>
      <c r="T100" s="13"/>
      <c r="U100" s="13"/>
      <c r="V100" s="13"/>
      <c r="W100" s="13"/>
      <c r="X100" s="13"/>
      <c r="Y100" s="13"/>
      <c r="Z100" s="13" t="str">
        <f t="shared" si="7"/>
        <v>high</v>
      </c>
      <c r="AA100" s="13" t="str" cm="1">
        <f t="array" ref="AA100">_xlfn.IFS(H100&gt;30,"high",H100&gt;20,"medium",H100&lt;=20,"low")</f>
        <v>high</v>
      </c>
      <c r="AB100" s="13" t="b">
        <f t="shared" si="8"/>
        <v>1</v>
      </c>
      <c r="AC100" s="13" t="b">
        <f t="shared" si="9"/>
        <v>1</v>
      </c>
    </row>
    <row r="101" spans="1:29">
      <c r="A101" s="10" t="s">
        <v>82</v>
      </c>
      <c r="B101" s="12">
        <v>45747</v>
      </c>
      <c r="C101" s="10" t="s">
        <v>19</v>
      </c>
      <c r="D101" s="10" t="s">
        <v>226</v>
      </c>
      <c r="E101" s="10" t="s">
        <v>12</v>
      </c>
      <c r="F101" s="13">
        <v>42.55</v>
      </c>
      <c r="G101" s="13">
        <v>3.38</v>
      </c>
      <c r="H101" s="13">
        <f t="shared" si="5"/>
        <v>45.93</v>
      </c>
      <c r="I101" s="13">
        <f t="shared" si="6"/>
        <v>24.655000000000001</v>
      </c>
      <c r="J101" s="13"/>
      <c r="K101" s="13"/>
      <c r="L101" s="13"/>
      <c r="M101" s="13"/>
      <c r="N101" s="13"/>
      <c r="O101" s="13"/>
      <c r="P101" s="13"/>
      <c r="Q101" s="13"/>
      <c r="R101" s="13"/>
      <c r="S101" s="13"/>
      <c r="T101" s="13"/>
      <c r="U101" s="13"/>
      <c r="V101" s="13"/>
      <c r="W101" s="13"/>
      <c r="X101" s="13"/>
      <c r="Y101" s="13"/>
      <c r="Z101" s="13" t="str">
        <f t="shared" si="7"/>
        <v>high</v>
      </c>
      <c r="AA101" s="13" t="str" cm="1">
        <f t="array" ref="AA101">_xlfn.IFS(H101&gt;30,"high",H101&gt;20,"medium",H101&lt;=20,"low")</f>
        <v>high</v>
      </c>
      <c r="AB101" s="13" t="b">
        <f t="shared" si="8"/>
        <v>1</v>
      </c>
      <c r="AC101" s="13" t="b">
        <f t="shared" si="9"/>
        <v>1</v>
      </c>
    </row>
    <row r="102" spans="1:29">
      <c r="A102" s="10" t="s">
        <v>83</v>
      </c>
      <c r="B102" s="12">
        <v>46169</v>
      </c>
      <c r="C102" s="10" t="s">
        <v>14</v>
      </c>
      <c r="D102" s="10" t="s">
        <v>224</v>
      </c>
      <c r="E102" s="10" t="s">
        <v>15</v>
      </c>
      <c r="F102" s="13">
        <v>43.89</v>
      </c>
      <c r="G102" s="13">
        <v>9.6999999999999993</v>
      </c>
      <c r="H102" s="13">
        <f t="shared" si="5"/>
        <v>53.59</v>
      </c>
      <c r="I102" s="13">
        <f t="shared" si="6"/>
        <v>31.645000000000003</v>
      </c>
      <c r="J102" s="13"/>
      <c r="K102" s="13"/>
      <c r="L102" s="13"/>
      <c r="M102" s="13"/>
      <c r="N102" s="13"/>
      <c r="O102" s="13"/>
      <c r="P102" s="13"/>
      <c r="Q102" s="13"/>
      <c r="R102" s="13"/>
      <c r="S102" s="13"/>
      <c r="T102" s="13"/>
      <c r="U102" s="13"/>
      <c r="V102" s="13"/>
      <c r="W102" s="13"/>
      <c r="X102" s="13"/>
      <c r="Y102" s="13"/>
      <c r="Z102" s="13" t="str">
        <f t="shared" si="7"/>
        <v>high</v>
      </c>
      <c r="AA102" s="13" t="str" cm="1">
        <f t="array" ref="AA102">_xlfn.IFS(H102&gt;30,"high",H102&gt;20,"medium",H102&lt;=20,"low")</f>
        <v>high</v>
      </c>
      <c r="AB102" s="13" t="b">
        <f t="shared" si="8"/>
        <v>0</v>
      </c>
      <c r="AC102" s="13" t="b">
        <f t="shared" si="9"/>
        <v>1</v>
      </c>
    </row>
    <row r="103" spans="1:29">
      <c r="A103" s="10" t="s">
        <v>84</v>
      </c>
      <c r="B103" s="12">
        <v>45870</v>
      </c>
      <c r="C103" s="10" t="s">
        <v>5</v>
      </c>
      <c r="D103" s="10" t="s">
        <v>224</v>
      </c>
      <c r="E103" s="10" t="s">
        <v>15</v>
      </c>
      <c r="F103" s="13">
        <v>18.89</v>
      </c>
      <c r="G103" s="13">
        <v>1.1599999999999999</v>
      </c>
      <c r="H103" s="13">
        <f t="shared" si="5"/>
        <v>20.05</v>
      </c>
      <c r="I103" s="13">
        <f t="shared" si="6"/>
        <v>10.605</v>
      </c>
      <c r="J103" s="13"/>
      <c r="K103" s="13"/>
      <c r="L103" s="13"/>
      <c r="M103" s="13"/>
      <c r="N103" s="13"/>
      <c r="O103" s="13"/>
      <c r="P103" s="13"/>
      <c r="Q103" s="13"/>
      <c r="R103" s="13"/>
      <c r="S103" s="13"/>
      <c r="T103" s="13"/>
      <c r="U103" s="13"/>
      <c r="V103" s="13"/>
      <c r="W103" s="13"/>
      <c r="X103" s="13"/>
      <c r="Y103" s="13"/>
      <c r="Z103" s="13" t="str">
        <f t="shared" si="7"/>
        <v>low</v>
      </c>
      <c r="AA103" s="13" t="str" cm="1">
        <f t="array" ref="AA103">_xlfn.IFS(H103&gt;30,"high",H103&gt;20,"medium",H103&lt;=20,"low")</f>
        <v>medium</v>
      </c>
      <c r="AB103" s="13" t="b">
        <f t="shared" si="8"/>
        <v>1</v>
      </c>
      <c r="AC103" s="13" t="b">
        <f t="shared" si="9"/>
        <v>1</v>
      </c>
    </row>
    <row r="104" spans="1:29">
      <c r="A104" s="10" t="s">
        <v>85</v>
      </c>
      <c r="B104" s="12">
        <v>45841</v>
      </c>
      <c r="C104" s="10" t="s">
        <v>5</v>
      </c>
      <c r="D104" s="10" t="s">
        <v>226</v>
      </c>
      <c r="E104" s="10" t="s">
        <v>8</v>
      </c>
      <c r="F104" s="13">
        <v>38.46</v>
      </c>
      <c r="G104" s="13">
        <v>5.0599999999999996</v>
      </c>
      <c r="H104" s="13">
        <f t="shared" si="5"/>
        <v>43.52</v>
      </c>
      <c r="I104" s="13">
        <f t="shared" si="6"/>
        <v>24.290000000000003</v>
      </c>
      <c r="J104" s="13"/>
      <c r="K104" s="13"/>
      <c r="L104" s="13"/>
      <c r="M104" s="13"/>
      <c r="N104" s="13"/>
      <c r="O104" s="13"/>
      <c r="P104" s="13"/>
      <c r="Q104" s="13"/>
      <c r="R104" s="13"/>
      <c r="S104" s="13"/>
      <c r="T104" s="13"/>
      <c r="U104" s="13"/>
      <c r="V104" s="13"/>
      <c r="W104" s="13"/>
      <c r="X104" s="13"/>
      <c r="Y104" s="13"/>
      <c r="Z104" s="13" t="str">
        <f t="shared" si="7"/>
        <v>high</v>
      </c>
      <c r="AA104" s="13" t="str" cm="1">
        <f t="array" ref="AA104">_xlfn.IFS(H104&gt;30,"high",H104&gt;20,"medium",H104&lt;=20,"low")</f>
        <v>high</v>
      </c>
      <c r="AB104" s="13" t="b">
        <f t="shared" si="8"/>
        <v>1</v>
      </c>
      <c r="AC104" s="13" t="b">
        <f t="shared" si="9"/>
        <v>1</v>
      </c>
    </row>
    <row r="105" spans="1:29">
      <c r="A105" s="10" t="s">
        <v>259</v>
      </c>
      <c r="B105" s="12">
        <v>46072</v>
      </c>
      <c r="C105" s="10" t="s">
        <v>21</v>
      </c>
      <c r="D105" s="10" t="s">
        <v>226</v>
      </c>
      <c r="E105" s="10" t="s">
        <v>12</v>
      </c>
      <c r="F105" s="13">
        <v>28.25</v>
      </c>
      <c r="G105" s="13">
        <v>2.2799999999999998</v>
      </c>
      <c r="H105" s="13">
        <f t="shared" si="5"/>
        <v>30.53</v>
      </c>
      <c r="I105" s="13">
        <f t="shared" si="6"/>
        <v>16.405000000000001</v>
      </c>
      <c r="J105" s="13"/>
      <c r="K105" s="13"/>
      <c r="L105" s="13"/>
      <c r="M105" s="13"/>
      <c r="N105" s="13"/>
      <c r="O105" s="13"/>
      <c r="P105" s="13"/>
      <c r="Q105" s="13"/>
      <c r="R105" s="13"/>
      <c r="S105" s="13"/>
      <c r="T105" s="13"/>
      <c r="U105" s="13"/>
      <c r="V105" s="13"/>
      <c r="W105" s="13"/>
      <c r="X105" s="13"/>
      <c r="Y105" s="13"/>
      <c r="Z105" s="13" t="str">
        <f t="shared" si="7"/>
        <v>high</v>
      </c>
      <c r="AA105" s="13" t="str" cm="1">
        <f t="array" ref="AA105">_xlfn.IFS(H105&gt;30,"high",H105&gt;20,"medium",H105&lt;=20,"low")</f>
        <v>high</v>
      </c>
      <c r="AB105" s="13" t="b">
        <f t="shared" si="8"/>
        <v>1</v>
      </c>
      <c r="AC105" s="13" t="b">
        <f t="shared" si="9"/>
        <v>1</v>
      </c>
    </row>
    <row r="106" spans="1:29">
      <c r="A106" s="10" t="s">
        <v>86</v>
      </c>
      <c r="B106" s="12">
        <v>45771</v>
      </c>
      <c r="C106" s="10" t="s">
        <v>5</v>
      </c>
      <c r="D106" s="10" t="s">
        <v>226</v>
      </c>
      <c r="E106" s="10" t="s">
        <v>15</v>
      </c>
      <c r="F106" s="13">
        <v>20.18</v>
      </c>
      <c r="G106" s="13">
        <v>1.71</v>
      </c>
      <c r="H106" s="13">
        <f t="shared" si="5"/>
        <v>21.89</v>
      </c>
      <c r="I106" s="13">
        <f t="shared" si="6"/>
        <v>11.8</v>
      </c>
      <c r="J106" s="13"/>
      <c r="K106" s="13"/>
      <c r="L106" s="13"/>
      <c r="M106" s="13"/>
      <c r="N106" s="13"/>
      <c r="O106" s="13"/>
      <c r="P106" s="13"/>
      <c r="Q106" s="13"/>
      <c r="R106" s="13"/>
      <c r="S106" s="13"/>
      <c r="T106" s="13"/>
      <c r="U106" s="13"/>
      <c r="V106" s="13"/>
      <c r="W106" s="13"/>
      <c r="X106" s="13"/>
      <c r="Y106" s="13"/>
      <c r="Z106" s="13" t="str">
        <f t="shared" si="7"/>
        <v>low</v>
      </c>
      <c r="AA106" s="13" t="str" cm="1">
        <f t="array" ref="AA106">_xlfn.IFS(H106&gt;30,"high",H106&gt;20,"medium",H106&lt;=20,"low")</f>
        <v>medium</v>
      </c>
      <c r="AB106" s="13" t="b">
        <f t="shared" si="8"/>
        <v>1</v>
      </c>
      <c r="AC106" s="13" t="b">
        <f t="shared" si="9"/>
        <v>1</v>
      </c>
    </row>
    <row r="107" spans="1:29">
      <c r="A107" s="10" t="s">
        <v>87</v>
      </c>
      <c r="B107" s="12">
        <v>46155</v>
      </c>
      <c r="C107" s="10" t="s">
        <v>21</v>
      </c>
      <c r="D107" s="10" t="s">
        <v>224</v>
      </c>
      <c r="E107" s="10" t="s">
        <v>12</v>
      </c>
      <c r="F107" s="13">
        <v>3.64</v>
      </c>
      <c r="G107" s="13">
        <v>3.67</v>
      </c>
      <c r="H107" s="13">
        <f t="shared" si="5"/>
        <v>7.3100000000000005</v>
      </c>
      <c r="I107" s="13">
        <f t="shared" si="6"/>
        <v>5.49</v>
      </c>
      <c r="J107" s="13"/>
      <c r="K107" s="13"/>
      <c r="L107" s="13"/>
      <c r="M107" s="13"/>
      <c r="N107" s="13"/>
      <c r="O107" s="13"/>
      <c r="P107" s="13"/>
      <c r="Q107" s="13"/>
      <c r="R107" s="13"/>
      <c r="S107" s="13"/>
      <c r="T107" s="13"/>
      <c r="U107" s="13"/>
      <c r="V107" s="13"/>
      <c r="W107" s="13"/>
      <c r="X107" s="13"/>
      <c r="Y107" s="13"/>
      <c r="Z107" s="13" t="str">
        <f t="shared" si="7"/>
        <v>low</v>
      </c>
      <c r="AA107" s="13" t="str" cm="1">
        <f t="array" ref="AA107">_xlfn.IFS(H107&gt;30,"high",H107&gt;20,"medium",H107&lt;=20,"low")</f>
        <v>low</v>
      </c>
      <c r="AB107" s="13" t="b">
        <f t="shared" si="8"/>
        <v>0</v>
      </c>
      <c r="AC107" s="13" t="b">
        <f t="shared" si="9"/>
        <v>1</v>
      </c>
    </row>
    <row r="108" spans="1:29">
      <c r="A108" s="10" t="s">
        <v>88</v>
      </c>
      <c r="B108" s="12">
        <v>46057</v>
      </c>
      <c r="C108" s="10" t="s">
        <v>5</v>
      </c>
      <c r="D108" s="10" t="s">
        <v>224</v>
      </c>
      <c r="E108" s="10" t="s">
        <v>12</v>
      </c>
      <c r="F108" s="13">
        <v>17.649999999999999</v>
      </c>
      <c r="G108" s="13">
        <v>6.75</v>
      </c>
      <c r="H108" s="13">
        <f t="shared" si="5"/>
        <v>24.4</v>
      </c>
      <c r="I108" s="13">
        <f t="shared" si="6"/>
        <v>15.574999999999999</v>
      </c>
      <c r="J108" s="13"/>
      <c r="K108" s="13"/>
      <c r="L108" s="13"/>
      <c r="M108" s="13"/>
      <c r="N108" s="13"/>
      <c r="O108" s="13"/>
      <c r="P108" s="13"/>
      <c r="Q108" s="13"/>
      <c r="R108" s="13"/>
      <c r="S108" s="13"/>
      <c r="T108" s="13"/>
      <c r="U108" s="13"/>
      <c r="V108" s="13"/>
      <c r="W108" s="13"/>
      <c r="X108" s="13"/>
      <c r="Y108" s="13"/>
      <c r="Z108" s="13" t="str">
        <f t="shared" si="7"/>
        <v>low</v>
      </c>
      <c r="AA108" s="13" t="str" cm="1">
        <f t="array" ref="AA108">_xlfn.IFS(H108&gt;30,"high",H108&gt;20,"medium",H108&lt;=20,"low")</f>
        <v>medium</v>
      </c>
      <c r="AB108" s="13" t="b">
        <f t="shared" si="8"/>
        <v>1</v>
      </c>
      <c r="AC108" s="13" t="b">
        <f t="shared" si="9"/>
        <v>1</v>
      </c>
    </row>
    <row r="109" spans="1:29">
      <c r="A109" s="10" t="s">
        <v>89</v>
      </c>
      <c r="B109" s="12">
        <v>45751</v>
      </c>
      <c r="C109" s="10" t="s">
        <v>5</v>
      </c>
      <c r="D109" s="10" t="s">
        <v>224</v>
      </c>
      <c r="E109" s="10" t="s">
        <v>15</v>
      </c>
      <c r="F109" s="13">
        <v>20.81</v>
      </c>
      <c r="G109" s="13">
        <v>5.35</v>
      </c>
      <c r="H109" s="13">
        <f t="shared" si="5"/>
        <v>26.159999999999997</v>
      </c>
      <c r="I109" s="13">
        <f t="shared" si="6"/>
        <v>15.754999999999999</v>
      </c>
      <c r="J109" s="13"/>
      <c r="K109" s="13"/>
      <c r="L109" s="13"/>
      <c r="M109" s="13"/>
      <c r="N109" s="13"/>
      <c r="O109" s="13"/>
      <c r="P109" s="13"/>
      <c r="Q109" s="13"/>
      <c r="R109" s="13"/>
      <c r="S109" s="13"/>
      <c r="T109" s="13"/>
      <c r="U109" s="13"/>
      <c r="V109" s="13"/>
      <c r="W109" s="13"/>
      <c r="X109" s="13"/>
      <c r="Y109" s="13"/>
      <c r="Z109" s="13" t="str">
        <f t="shared" si="7"/>
        <v>low</v>
      </c>
      <c r="AA109" s="13" t="str" cm="1">
        <f t="array" ref="AA109">_xlfn.IFS(H109&gt;30,"high",H109&gt;20,"medium",H109&lt;=20,"low")</f>
        <v>medium</v>
      </c>
      <c r="AB109" s="13" t="b">
        <f t="shared" si="8"/>
        <v>1</v>
      </c>
      <c r="AC109" s="13" t="b">
        <f t="shared" si="9"/>
        <v>1</v>
      </c>
    </row>
    <row r="110" spans="1:29">
      <c r="A110" s="10" t="s">
        <v>260</v>
      </c>
      <c r="B110" s="12">
        <v>45959</v>
      </c>
      <c r="C110" s="10" t="s">
        <v>5</v>
      </c>
      <c r="D110" s="10" t="s">
        <v>226</v>
      </c>
      <c r="E110" s="10" t="s">
        <v>8</v>
      </c>
      <c r="F110" s="13">
        <v>34.729999999999997</v>
      </c>
      <c r="G110" s="13">
        <v>0.82</v>
      </c>
      <c r="H110" s="13">
        <f t="shared" si="5"/>
        <v>35.549999999999997</v>
      </c>
      <c r="I110" s="13">
        <f t="shared" si="6"/>
        <v>18.184999999999999</v>
      </c>
      <c r="J110" s="13"/>
      <c r="K110" s="13"/>
      <c r="L110" s="13"/>
      <c r="M110" s="13"/>
      <c r="N110" s="13"/>
      <c r="O110" s="13"/>
      <c r="P110" s="13"/>
      <c r="Q110" s="13"/>
      <c r="R110" s="13"/>
      <c r="S110" s="13"/>
      <c r="T110" s="13"/>
      <c r="U110" s="13"/>
      <c r="V110" s="13"/>
      <c r="W110" s="13"/>
      <c r="X110" s="13"/>
      <c r="Y110" s="13"/>
      <c r="Z110" s="13" t="str">
        <f t="shared" si="7"/>
        <v>high</v>
      </c>
      <c r="AA110" s="13" t="str" cm="1">
        <f t="array" ref="AA110">_xlfn.IFS(H110&gt;30,"high",H110&gt;20,"medium",H110&lt;=20,"low")</f>
        <v>high</v>
      </c>
      <c r="AB110" s="13" t="b">
        <f t="shared" si="8"/>
        <v>1</v>
      </c>
      <c r="AC110" s="13" t="b">
        <f t="shared" si="9"/>
        <v>1</v>
      </c>
    </row>
    <row r="111" spans="1:29">
      <c r="A111" s="10" t="s">
        <v>261</v>
      </c>
      <c r="B111" s="12">
        <v>46200</v>
      </c>
      <c r="C111" s="10" t="s">
        <v>5</v>
      </c>
      <c r="D111" s="10" t="s">
        <v>224</v>
      </c>
      <c r="E111" s="10" t="s">
        <v>8</v>
      </c>
      <c r="F111" s="13">
        <v>61.42</v>
      </c>
      <c r="G111" s="13">
        <v>10.75</v>
      </c>
      <c r="H111" s="13">
        <f t="shared" si="5"/>
        <v>72.17</v>
      </c>
      <c r="I111" s="13">
        <f t="shared" si="6"/>
        <v>41.46</v>
      </c>
      <c r="J111" s="13"/>
      <c r="K111" s="13"/>
      <c r="L111" s="13"/>
      <c r="M111" s="13"/>
      <c r="N111" s="13"/>
      <c r="O111" s="13"/>
      <c r="P111" s="13"/>
      <c r="Q111" s="13"/>
      <c r="R111" s="13"/>
      <c r="S111" s="13"/>
      <c r="T111" s="13"/>
      <c r="U111" s="13"/>
      <c r="V111" s="13"/>
      <c r="W111" s="13"/>
      <c r="X111" s="13"/>
      <c r="Y111" s="13"/>
      <c r="Z111" s="13" t="str">
        <f t="shared" si="7"/>
        <v>high</v>
      </c>
      <c r="AA111" s="13" t="str" cm="1">
        <f t="array" ref="AA111">_xlfn.IFS(H111&gt;30,"high",H111&gt;20,"medium",H111&lt;=20,"low")</f>
        <v>high</v>
      </c>
      <c r="AB111" s="13" t="b">
        <f t="shared" si="8"/>
        <v>0</v>
      </c>
      <c r="AC111" s="13" t="b">
        <f t="shared" si="9"/>
        <v>1</v>
      </c>
    </row>
    <row r="112" spans="1:29">
      <c r="A112" s="10" t="s">
        <v>262</v>
      </c>
      <c r="B112" s="12">
        <v>45911</v>
      </c>
      <c r="C112" s="10" t="s">
        <v>19</v>
      </c>
      <c r="D112" s="10" t="s">
        <v>6</v>
      </c>
      <c r="E112" s="10" t="s">
        <v>15</v>
      </c>
      <c r="F112" s="13">
        <v>36.65</v>
      </c>
      <c r="G112" s="13">
        <v>2.73</v>
      </c>
      <c r="H112" s="13">
        <f t="shared" si="5"/>
        <v>39.379999999999995</v>
      </c>
      <c r="I112" s="13">
        <f t="shared" si="6"/>
        <v>21.054999999999996</v>
      </c>
      <c r="J112" s="13"/>
      <c r="K112" s="13"/>
      <c r="L112" s="13"/>
      <c r="M112" s="13"/>
      <c r="N112" s="13"/>
      <c r="O112" s="13"/>
      <c r="P112" s="13"/>
      <c r="Q112" s="13"/>
      <c r="R112" s="13"/>
      <c r="S112" s="13"/>
      <c r="T112" s="13"/>
      <c r="U112" s="13"/>
      <c r="V112" s="13"/>
      <c r="W112" s="13"/>
      <c r="X112" s="13"/>
      <c r="Y112" s="13"/>
      <c r="Z112" s="13" t="str">
        <f t="shared" si="7"/>
        <v>high</v>
      </c>
      <c r="AA112" s="13" t="str" cm="1">
        <f t="array" ref="AA112">_xlfn.IFS(H112&gt;30,"high",H112&gt;20,"medium",H112&lt;=20,"low")</f>
        <v>high</v>
      </c>
      <c r="AB112" s="13" t="b">
        <f t="shared" si="8"/>
        <v>1</v>
      </c>
      <c r="AC112" s="13" t="b">
        <f t="shared" si="9"/>
        <v>1</v>
      </c>
    </row>
    <row r="113" spans="1:29">
      <c r="A113" s="10" t="s">
        <v>90</v>
      </c>
      <c r="B113" s="12">
        <v>45966</v>
      </c>
      <c r="C113" s="10" t="s">
        <v>19</v>
      </c>
      <c r="D113" s="10" t="s">
        <v>226</v>
      </c>
      <c r="E113" s="10" t="s">
        <v>12</v>
      </c>
      <c r="F113" s="13">
        <v>23.3</v>
      </c>
      <c r="G113" s="13">
        <v>10.75</v>
      </c>
      <c r="H113" s="13">
        <f t="shared" si="5"/>
        <v>34.049999999999997</v>
      </c>
      <c r="I113" s="13">
        <f t="shared" si="6"/>
        <v>22.4</v>
      </c>
      <c r="J113" s="13"/>
      <c r="K113" s="13"/>
      <c r="L113" s="13"/>
      <c r="M113" s="13"/>
      <c r="N113" s="13"/>
      <c r="O113" s="13"/>
      <c r="P113" s="13"/>
      <c r="Q113" s="13"/>
      <c r="R113" s="13"/>
      <c r="S113" s="13"/>
      <c r="T113" s="13"/>
      <c r="U113" s="13"/>
      <c r="V113" s="13"/>
      <c r="W113" s="13"/>
      <c r="X113" s="13"/>
      <c r="Y113" s="13"/>
      <c r="Z113" s="13" t="str">
        <f t="shared" si="7"/>
        <v>high</v>
      </c>
      <c r="AA113" s="13" t="str" cm="1">
        <f t="array" ref="AA113">_xlfn.IFS(H113&gt;30,"high",H113&gt;20,"medium",H113&lt;=20,"low")</f>
        <v>high</v>
      </c>
      <c r="AB113" s="13" t="b">
        <f t="shared" si="8"/>
        <v>1</v>
      </c>
      <c r="AC113" s="13" t="b">
        <f t="shared" si="9"/>
        <v>1</v>
      </c>
    </row>
    <row r="114" spans="1:29">
      <c r="A114" s="10" t="s">
        <v>92</v>
      </c>
      <c r="B114" s="12">
        <v>46024</v>
      </c>
      <c r="C114" s="10" t="s">
        <v>91</v>
      </c>
      <c r="D114" s="10" t="s">
        <v>6</v>
      </c>
      <c r="E114" s="10" t="s">
        <v>15</v>
      </c>
      <c r="F114" s="13">
        <v>31.53</v>
      </c>
      <c r="G114" s="13">
        <v>3.27</v>
      </c>
      <c r="H114" s="13">
        <f t="shared" si="5"/>
        <v>34.800000000000004</v>
      </c>
      <c r="I114" s="13">
        <f t="shared" si="6"/>
        <v>19.035000000000004</v>
      </c>
      <c r="J114" s="13"/>
      <c r="K114" s="13"/>
      <c r="L114" s="13"/>
      <c r="M114" s="13"/>
      <c r="N114" s="13"/>
      <c r="O114" s="13"/>
      <c r="P114" s="13"/>
      <c r="Q114" s="13"/>
      <c r="R114" s="13"/>
      <c r="S114" s="13"/>
      <c r="T114" s="13"/>
      <c r="U114" s="13"/>
      <c r="V114" s="13"/>
      <c r="W114" s="13"/>
      <c r="X114" s="13"/>
      <c r="Y114" s="13"/>
      <c r="Z114" s="13" t="str">
        <f t="shared" si="7"/>
        <v>high</v>
      </c>
      <c r="AA114" s="13" t="str" cm="1">
        <f t="array" ref="AA114">_xlfn.IFS(H114&gt;30,"high",H114&gt;20,"medium",H114&lt;=20,"low")</f>
        <v>high</v>
      </c>
      <c r="AB114" s="13" t="b">
        <f t="shared" si="8"/>
        <v>1</v>
      </c>
      <c r="AC114" s="13" t="b">
        <f t="shared" si="9"/>
        <v>1</v>
      </c>
    </row>
    <row r="115" spans="1:29">
      <c r="A115" s="10" t="s">
        <v>93</v>
      </c>
      <c r="B115" s="12">
        <v>46227</v>
      </c>
      <c r="C115" s="10" t="s">
        <v>7</v>
      </c>
      <c r="D115" s="10" t="s">
        <v>226</v>
      </c>
      <c r="E115" s="10" t="s">
        <v>12</v>
      </c>
      <c r="F115" s="13">
        <v>3.08</v>
      </c>
      <c r="G115" s="13">
        <v>8.82</v>
      </c>
      <c r="H115" s="13">
        <f t="shared" si="5"/>
        <v>11.9</v>
      </c>
      <c r="I115" s="13">
        <f t="shared" si="6"/>
        <v>10.36</v>
      </c>
      <c r="J115" s="13"/>
      <c r="K115" s="13"/>
      <c r="L115" s="13"/>
      <c r="M115" s="13"/>
      <c r="N115" s="13"/>
      <c r="O115" s="13"/>
      <c r="P115" s="13"/>
      <c r="Q115" s="13"/>
      <c r="R115" s="13"/>
      <c r="S115" s="13"/>
      <c r="T115" s="13"/>
      <c r="U115" s="13"/>
      <c r="V115" s="13"/>
      <c r="W115" s="13"/>
      <c r="X115" s="13"/>
      <c r="Y115" s="13"/>
      <c r="Z115" s="13" t="str">
        <f t="shared" si="7"/>
        <v>low</v>
      </c>
      <c r="AA115" s="13" t="str" cm="1">
        <f t="array" ref="AA115">_xlfn.IFS(H115&gt;30,"high",H115&gt;20,"medium",H115&lt;=20,"low")</f>
        <v>low</v>
      </c>
      <c r="AB115" s="13" t="b">
        <f t="shared" si="8"/>
        <v>1</v>
      </c>
      <c r="AC115" s="13" t="b">
        <f t="shared" si="9"/>
        <v>1</v>
      </c>
    </row>
    <row r="116" spans="1:29">
      <c r="A116" s="10" t="s">
        <v>264</v>
      </c>
      <c r="B116" s="12">
        <v>45851</v>
      </c>
      <c r="C116" s="10" t="s">
        <v>9</v>
      </c>
      <c r="D116" s="10" t="s">
        <v>224</v>
      </c>
      <c r="E116" s="10" t="s">
        <v>12</v>
      </c>
      <c r="F116" s="13">
        <v>54.24</v>
      </c>
      <c r="G116" s="13">
        <v>10.31</v>
      </c>
      <c r="H116" s="13">
        <f t="shared" si="5"/>
        <v>64.55</v>
      </c>
      <c r="I116" s="13">
        <f t="shared" si="6"/>
        <v>37.43</v>
      </c>
      <c r="J116" s="13"/>
      <c r="K116" s="13"/>
      <c r="L116" s="13"/>
      <c r="M116" s="13"/>
      <c r="N116" s="13"/>
      <c r="O116" s="13"/>
      <c r="P116" s="13"/>
      <c r="Q116" s="13"/>
      <c r="R116" s="13"/>
      <c r="S116" s="13"/>
      <c r="T116" s="13"/>
      <c r="U116" s="13"/>
      <c r="V116" s="13"/>
      <c r="W116" s="13"/>
      <c r="X116" s="13"/>
      <c r="Y116" s="13"/>
      <c r="Z116" s="13" t="str">
        <f t="shared" si="7"/>
        <v>high</v>
      </c>
      <c r="AA116" s="13" t="str" cm="1">
        <f t="array" ref="AA116">_xlfn.IFS(H116&gt;30,"high",H116&gt;20,"medium",H116&lt;=20,"low")</f>
        <v>high</v>
      </c>
      <c r="AB116" s="13" t="b">
        <f t="shared" si="8"/>
        <v>0</v>
      </c>
      <c r="AC116" s="13" t="b">
        <f t="shared" si="9"/>
        <v>1</v>
      </c>
    </row>
    <row r="117" spans="1:29">
      <c r="A117" s="10" t="s">
        <v>94</v>
      </c>
      <c r="B117" s="12">
        <v>46045</v>
      </c>
      <c r="C117" s="10" t="s">
        <v>19</v>
      </c>
      <c r="D117" s="10" t="s">
        <v>362</v>
      </c>
      <c r="E117" s="10" t="s">
        <v>8</v>
      </c>
      <c r="F117" s="13">
        <v>12.07</v>
      </c>
      <c r="G117" s="13">
        <v>4.09</v>
      </c>
      <c r="H117" s="13">
        <f t="shared" si="5"/>
        <v>16.16</v>
      </c>
      <c r="I117" s="13">
        <f t="shared" si="6"/>
        <v>10.125</v>
      </c>
      <c r="J117" s="13"/>
      <c r="K117" s="13"/>
      <c r="L117" s="13"/>
      <c r="M117" s="13"/>
      <c r="N117" s="13"/>
      <c r="O117" s="13"/>
      <c r="P117" s="13"/>
      <c r="Q117" s="13"/>
      <c r="R117" s="13"/>
      <c r="S117" s="13"/>
      <c r="T117" s="13"/>
      <c r="U117" s="13"/>
      <c r="V117" s="13"/>
      <c r="W117" s="13"/>
      <c r="X117" s="13"/>
      <c r="Y117" s="13"/>
      <c r="Z117" s="13" t="str">
        <f t="shared" si="7"/>
        <v>low</v>
      </c>
      <c r="AA117" s="13" t="str" cm="1">
        <f t="array" ref="AA117">_xlfn.IFS(H117&gt;30,"high",H117&gt;20,"medium",H117&lt;=20,"low")</f>
        <v>low</v>
      </c>
      <c r="AB117" s="13" t="b">
        <f t="shared" si="8"/>
        <v>1</v>
      </c>
      <c r="AC117" s="13" t="b">
        <f t="shared" si="9"/>
        <v>1</v>
      </c>
    </row>
    <row r="118" spans="1:29">
      <c r="A118" s="10" t="s">
        <v>95</v>
      </c>
      <c r="B118" s="12">
        <v>45814</v>
      </c>
      <c r="C118" s="10" t="s">
        <v>9</v>
      </c>
      <c r="D118" s="10" t="s">
        <v>6</v>
      </c>
      <c r="E118" s="10" t="s">
        <v>15</v>
      </c>
      <c r="F118" s="13">
        <v>19.53</v>
      </c>
      <c r="G118" s="13">
        <v>7.82</v>
      </c>
      <c r="H118" s="13">
        <f t="shared" si="5"/>
        <v>27.35</v>
      </c>
      <c r="I118" s="13">
        <f t="shared" si="6"/>
        <v>17.585000000000001</v>
      </c>
      <c r="J118" s="13"/>
      <c r="K118" s="13"/>
      <c r="L118" s="13"/>
      <c r="M118" s="13"/>
      <c r="N118" s="13"/>
      <c r="O118" s="13"/>
      <c r="P118" s="13"/>
      <c r="Q118" s="13"/>
      <c r="R118" s="13"/>
      <c r="S118" s="13"/>
      <c r="T118" s="13"/>
      <c r="U118" s="13"/>
      <c r="V118" s="13"/>
      <c r="W118" s="13"/>
      <c r="X118" s="13"/>
      <c r="Y118" s="13"/>
      <c r="Z118" s="13" t="str">
        <f t="shared" si="7"/>
        <v>low</v>
      </c>
      <c r="AA118" s="13" t="str" cm="1">
        <f t="array" ref="AA118">_xlfn.IFS(H118&gt;30,"high",H118&gt;20,"medium",H118&lt;=20,"low")</f>
        <v>medium</v>
      </c>
      <c r="AB118" s="13" t="b">
        <f t="shared" si="8"/>
        <v>1</v>
      </c>
      <c r="AC118" s="13" t="b">
        <f t="shared" si="9"/>
        <v>1</v>
      </c>
    </row>
    <row r="119" spans="1:29">
      <c r="A119" s="10" t="s">
        <v>265</v>
      </c>
      <c r="B119" s="12">
        <v>45995</v>
      </c>
      <c r="C119" s="10" t="s">
        <v>7</v>
      </c>
      <c r="D119" s="10" t="s">
        <v>226</v>
      </c>
      <c r="E119" s="10" t="s">
        <v>12</v>
      </c>
      <c r="F119" s="13">
        <v>17.84</v>
      </c>
      <c r="G119" s="13">
        <v>6.43</v>
      </c>
      <c r="H119" s="13">
        <f t="shared" si="5"/>
        <v>24.27</v>
      </c>
      <c r="I119" s="13">
        <f t="shared" si="6"/>
        <v>15.35</v>
      </c>
      <c r="J119" s="13"/>
      <c r="K119" s="13"/>
      <c r="L119" s="13"/>
      <c r="M119" s="13"/>
      <c r="N119" s="13"/>
      <c r="O119" s="13"/>
      <c r="P119" s="13"/>
      <c r="Q119" s="13"/>
      <c r="R119" s="13"/>
      <c r="S119" s="13"/>
      <c r="T119" s="13"/>
      <c r="U119" s="13"/>
      <c r="V119" s="13"/>
      <c r="W119" s="13"/>
      <c r="X119" s="13"/>
      <c r="Y119" s="13"/>
      <c r="Z119" s="13" t="str">
        <f t="shared" si="7"/>
        <v>low</v>
      </c>
      <c r="AA119" s="13" t="str" cm="1">
        <f t="array" ref="AA119">_xlfn.IFS(H119&gt;30,"high",H119&gt;20,"medium",H119&lt;=20,"low")</f>
        <v>medium</v>
      </c>
      <c r="AB119" s="13" t="b">
        <f t="shared" si="8"/>
        <v>1</v>
      </c>
      <c r="AC119" s="13" t="b">
        <f t="shared" si="9"/>
        <v>1</v>
      </c>
    </row>
    <row r="120" spans="1:29">
      <c r="A120" s="10" t="s">
        <v>96</v>
      </c>
      <c r="B120" s="12">
        <v>45810</v>
      </c>
      <c r="C120" s="10" t="s">
        <v>14</v>
      </c>
      <c r="D120" s="10" t="s">
        <v>226</v>
      </c>
      <c r="E120" s="10" t="s">
        <v>15</v>
      </c>
      <c r="F120" s="13">
        <v>21.25</v>
      </c>
      <c r="G120" s="13">
        <v>3.11</v>
      </c>
      <c r="H120" s="13">
        <f t="shared" si="5"/>
        <v>24.36</v>
      </c>
      <c r="I120" s="13">
        <f t="shared" si="6"/>
        <v>13.734999999999999</v>
      </c>
      <c r="J120" s="13"/>
      <c r="K120" s="13"/>
      <c r="L120" s="13"/>
      <c r="M120" s="13"/>
      <c r="N120" s="13"/>
      <c r="O120" s="13"/>
      <c r="P120" s="13"/>
      <c r="Q120" s="13"/>
      <c r="R120" s="13"/>
      <c r="S120" s="13"/>
      <c r="T120" s="13"/>
      <c r="U120" s="13"/>
      <c r="V120" s="13"/>
      <c r="W120" s="13"/>
      <c r="X120" s="13"/>
      <c r="Y120" s="13"/>
      <c r="Z120" s="13" t="str">
        <f t="shared" si="7"/>
        <v>low</v>
      </c>
      <c r="AA120" s="13" t="str" cm="1">
        <f t="array" ref="AA120">_xlfn.IFS(H120&gt;30,"high",H120&gt;20,"medium",H120&lt;=20,"low")</f>
        <v>medium</v>
      </c>
      <c r="AB120" s="13" t="b">
        <f t="shared" si="8"/>
        <v>1</v>
      </c>
      <c r="AC120" s="13" t="b">
        <f t="shared" si="9"/>
        <v>1</v>
      </c>
    </row>
    <row r="121" spans="1:29">
      <c r="A121" s="10" t="s">
        <v>97</v>
      </c>
      <c r="B121" s="12">
        <v>45936</v>
      </c>
      <c r="C121" s="10" t="s">
        <v>21</v>
      </c>
      <c r="D121" s="10" t="s">
        <v>226</v>
      </c>
      <c r="E121" s="10" t="s">
        <v>15</v>
      </c>
      <c r="F121" s="13">
        <v>63.79</v>
      </c>
      <c r="G121" s="13">
        <v>12.53</v>
      </c>
      <c r="H121" s="13">
        <f t="shared" si="5"/>
        <v>76.319999999999993</v>
      </c>
      <c r="I121" s="13">
        <f t="shared" si="6"/>
        <v>44.424999999999997</v>
      </c>
      <c r="J121" s="13"/>
      <c r="K121" s="13"/>
      <c r="L121" s="13"/>
      <c r="M121" s="13"/>
      <c r="N121" s="13"/>
      <c r="O121" s="13"/>
      <c r="P121" s="13"/>
      <c r="Q121" s="13"/>
      <c r="R121" s="13"/>
      <c r="S121" s="13"/>
      <c r="T121" s="13"/>
      <c r="U121" s="13"/>
      <c r="V121" s="13"/>
      <c r="W121" s="13"/>
      <c r="X121" s="13"/>
      <c r="Y121" s="13"/>
      <c r="Z121" s="13" t="str">
        <f t="shared" si="7"/>
        <v>high</v>
      </c>
      <c r="AA121" s="13" t="str" cm="1">
        <f t="array" ref="AA121">_xlfn.IFS(H121&gt;30,"high",H121&gt;20,"medium",H121&lt;=20,"low")</f>
        <v>high</v>
      </c>
      <c r="AB121" s="13" t="b">
        <f t="shared" si="8"/>
        <v>0</v>
      </c>
      <c r="AC121" s="13" t="b">
        <f t="shared" si="9"/>
        <v>1</v>
      </c>
    </row>
    <row r="122" spans="1:29">
      <c r="A122" s="10" t="s">
        <v>266</v>
      </c>
      <c r="B122" s="12">
        <v>46143</v>
      </c>
      <c r="C122" s="10" t="s">
        <v>19</v>
      </c>
      <c r="D122" s="10" t="s">
        <v>226</v>
      </c>
      <c r="E122" s="10" t="s">
        <v>12</v>
      </c>
      <c r="F122" s="13">
        <v>4.71</v>
      </c>
      <c r="G122" s="13">
        <v>0.71</v>
      </c>
      <c r="H122" s="13">
        <f t="shared" si="5"/>
        <v>5.42</v>
      </c>
      <c r="I122" s="13">
        <f t="shared" si="6"/>
        <v>3.0649999999999999</v>
      </c>
      <c r="J122" s="13"/>
      <c r="K122" s="13"/>
      <c r="L122" s="13"/>
      <c r="M122" s="13"/>
      <c r="N122" s="13"/>
      <c r="O122" s="13"/>
      <c r="P122" s="13"/>
      <c r="Q122" s="13"/>
      <c r="R122" s="13"/>
      <c r="S122" s="13"/>
      <c r="T122" s="13"/>
      <c r="U122" s="13"/>
      <c r="V122" s="13"/>
      <c r="W122" s="13"/>
      <c r="X122" s="13"/>
      <c r="Y122" s="13"/>
      <c r="Z122" s="13" t="str">
        <f t="shared" si="7"/>
        <v>low</v>
      </c>
      <c r="AA122" s="13" t="str" cm="1">
        <f t="array" ref="AA122">_xlfn.IFS(H122&gt;30,"high",H122&gt;20,"medium",H122&lt;=20,"low")</f>
        <v>low</v>
      </c>
      <c r="AB122" s="13" t="b">
        <f t="shared" si="8"/>
        <v>0</v>
      </c>
      <c r="AC122" s="13" t="b">
        <f t="shared" si="9"/>
        <v>1</v>
      </c>
    </row>
    <row r="123" spans="1:29">
      <c r="A123" s="10" t="s">
        <v>267</v>
      </c>
      <c r="B123" s="12">
        <v>45890</v>
      </c>
      <c r="C123" s="10" t="s">
        <v>21</v>
      </c>
      <c r="D123" s="10" t="s">
        <v>224</v>
      </c>
      <c r="E123" s="10" t="s">
        <v>6</v>
      </c>
      <c r="F123" s="13">
        <v>28.79</v>
      </c>
      <c r="G123" s="13">
        <v>6.02</v>
      </c>
      <c r="H123" s="13">
        <f t="shared" si="5"/>
        <v>34.81</v>
      </c>
      <c r="I123" s="13">
        <f t="shared" si="6"/>
        <v>20.414999999999999</v>
      </c>
      <c r="J123" s="13"/>
      <c r="K123" s="13"/>
      <c r="L123" s="13"/>
      <c r="M123" s="13"/>
      <c r="N123" s="13"/>
      <c r="O123" s="13"/>
      <c r="P123" s="13"/>
      <c r="Q123" s="13"/>
      <c r="R123" s="13"/>
      <c r="S123" s="13"/>
      <c r="T123" s="13"/>
      <c r="U123" s="13"/>
      <c r="V123" s="13"/>
      <c r="W123" s="13"/>
      <c r="X123" s="13"/>
      <c r="Y123" s="13"/>
      <c r="Z123" s="13" t="str">
        <f t="shared" si="7"/>
        <v>high</v>
      </c>
      <c r="AA123" s="13" t="str" cm="1">
        <f t="array" ref="AA123">_xlfn.IFS(H123&gt;30,"high",H123&gt;20,"medium",H123&lt;=20,"low")</f>
        <v>high</v>
      </c>
      <c r="AB123" s="13" t="b">
        <f t="shared" si="8"/>
        <v>1</v>
      </c>
      <c r="AC123" s="13" t="b">
        <f t="shared" si="9"/>
        <v>1</v>
      </c>
    </row>
    <row r="124" spans="1:29">
      <c r="A124" s="10" t="s">
        <v>98</v>
      </c>
      <c r="B124" s="12">
        <v>45707</v>
      </c>
      <c r="C124" s="10" t="s">
        <v>14</v>
      </c>
      <c r="D124" s="10" t="s">
        <v>224</v>
      </c>
      <c r="E124" s="10" t="s">
        <v>8</v>
      </c>
      <c r="F124" s="13">
        <v>21.02</v>
      </c>
      <c r="G124" s="13">
        <v>2.13</v>
      </c>
      <c r="H124" s="13">
        <f t="shared" si="5"/>
        <v>23.15</v>
      </c>
      <c r="I124" s="13">
        <f t="shared" si="6"/>
        <v>12.639999999999999</v>
      </c>
      <c r="J124" s="13"/>
      <c r="K124" s="13"/>
      <c r="L124" s="13"/>
      <c r="M124" s="13"/>
      <c r="N124" s="13"/>
      <c r="O124" s="13"/>
      <c r="P124" s="13"/>
      <c r="Q124" s="13"/>
      <c r="R124" s="13"/>
      <c r="S124" s="13"/>
      <c r="T124" s="13"/>
      <c r="U124" s="13"/>
      <c r="V124" s="13"/>
      <c r="W124" s="13"/>
      <c r="X124" s="13"/>
      <c r="Y124" s="13"/>
      <c r="Z124" s="13" t="str">
        <f t="shared" si="7"/>
        <v>low</v>
      </c>
      <c r="AA124" s="13" t="str" cm="1">
        <f t="array" ref="AA124">_xlfn.IFS(H124&gt;30,"high",H124&gt;20,"medium",H124&lt;=20,"low")</f>
        <v>medium</v>
      </c>
      <c r="AB124" s="13" t="b">
        <f t="shared" si="8"/>
        <v>1</v>
      </c>
      <c r="AC124" s="13" t="b">
        <f t="shared" si="9"/>
        <v>1</v>
      </c>
    </row>
    <row r="125" spans="1:29">
      <c r="A125" s="10" t="s">
        <v>268</v>
      </c>
      <c r="B125" s="12">
        <v>45775</v>
      </c>
      <c r="C125" s="10" t="s">
        <v>9</v>
      </c>
      <c r="D125" s="10" t="s">
        <v>6</v>
      </c>
      <c r="E125" s="10" t="s">
        <v>8</v>
      </c>
      <c r="F125" s="13">
        <v>15.94</v>
      </c>
      <c r="G125" s="13">
        <v>3.99</v>
      </c>
      <c r="H125" s="13">
        <f t="shared" si="5"/>
        <v>19.93</v>
      </c>
      <c r="I125" s="13">
        <f t="shared" si="6"/>
        <v>11.96</v>
      </c>
      <c r="J125" s="13"/>
      <c r="K125" s="13"/>
      <c r="L125" s="13"/>
      <c r="M125" s="13"/>
      <c r="N125" s="13"/>
      <c r="O125" s="13"/>
      <c r="P125" s="13"/>
      <c r="Q125" s="13"/>
      <c r="R125" s="13"/>
      <c r="S125" s="13"/>
      <c r="T125" s="13"/>
      <c r="U125" s="13"/>
      <c r="V125" s="13"/>
      <c r="W125" s="13"/>
      <c r="X125" s="13"/>
      <c r="Y125" s="13"/>
      <c r="Z125" s="13" t="str">
        <f t="shared" si="7"/>
        <v>low</v>
      </c>
      <c r="AA125" s="13" t="str" cm="1">
        <f t="array" ref="AA125">_xlfn.IFS(H125&gt;30,"high",H125&gt;20,"medium",H125&lt;=20,"low")</f>
        <v>low</v>
      </c>
      <c r="AB125" s="13" t="b">
        <f t="shared" si="8"/>
        <v>1</v>
      </c>
      <c r="AC125" s="13" t="b">
        <f t="shared" si="9"/>
        <v>1</v>
      </c>
    </row>
    <row r="126" spans="1:29">
      <c r="A126" s="10" t="s">
        <v>99</v>
      </c>
      <c r="B126" s="12">
        <v>45823</v>
      </c>
      <c r="C126" s="10" t="s">
        <v>5</v>
      </c>
      <c r="D126" s="10" t="s">
        <v>226</v>
      </c>
      <c r="E126" s="10" t="s">
        <v>8</v>
      </c>
      <c r="F126" s="13">
        <v>2.64</v>
      </c>
      <c r="G126" s="13">
        <v>12.64</v>
      </c>
      <c r="H126" s="13">
        <f t="shared" si="5"/>
        <v>15.280000000000001</v>
      </c>
      <c r="I126" s="13">
        <f t="shared" si="6"/>
        <v>13.96</v>
      </c>
      <c r="J126" s="13"/>
      <c r="K126" s="13"/>
      <c r="L126" s="13"/>
      <c r="M126" s="13"/>
      <c r="N126" s="13"/>
      <c r="O126" s="13"/>
      <c r="P126" s="13"/>
      <c r="Q126" s="13"/>
      <c r="R126" s="13"/>
      <c r="S126" s="13"/>
      <c r="T126" s="13"/>
      <c r="U126" s="13"/>
      <c r="V126" s="13"/>
      <c r="W126" s="13"/>
      <c r="X126" s="13"/>
      <c r="Y126" s="13"/>
      <c r="Z126" s="13" t="str">
        <f t="shared" si="7"/>
        <v>low</v>
      </c>
      <c r="AA126" s="13" t="str" cm="1">
        <f t="array" ref="AA126">_xlfn.IFS(H126&gt;30,"high",H126&gt;20,"medium",H126&lt;=20,"low")</f>
        <v>low</v>
      </c>
      <c r="AB126" s="13" t="b">
        <f t="shared" si="8"/>
        <v>1</v>
      </c>
      <c r="AC126" s="13" t="b">
        <f t="shared" si="9"/>
        <v>1</v>
      </c>
    </row>
    <row r="127" spans="1:29">
      <c r="A127" s="10" t="s">
        <v>100</v>
      </c>
      <c r="B127" s="12">
        <v>46201</v>
      </c>
      <c r="C127" s="10" t="s">
        <v>9</v>
      </c>
      <c r="D127" s="10" t="s">
        <v>224</v>
      </c>
      <c r="E127" s="10" t="s">
        <v>8</v>
      </c>
      <c r="F127" s="13">
        <v>46.38</v>
      </c>
      <c r="G127" s="13">
        <v>2.74</v>
      </c>
      <c r="H127" s="13">
        <f t="shared" si="5"/>
        <v>49.120000000000005</v>
      </c>
      <c r="I127" s="13">
        <f t="shared" si="6"/>
        <v>25.930000000000003</v>
      </c>
      <c r="J127" s="13"/>
      <c r="K127" s="13"/>
      <c r="L127" s="13"/>
      <c r="M127" s="13"/>
      <c r="N127" s="13"/>
      <c r="O127" s="13"/>
      <c r="P127" s="13"/>
      <c r="Q127" s="13"/>
      <c r="R127" s="13"/>
      <c r="S127" s="13"/>
      <c r="T127" s="13"/>
      <c r="U127" s="13"/>
      <c r="V127" s="13"/>
      <c r="W127" s="13"/>
      <c r="X127" s="13"/>
      <c r="Y127" s="13"/>
      <c r="Z127" s="13" t="str">
        <f t="shared" si="7"/>
        <v>high</v>
      </c>
      <c r="AA127" s="13" t="str" cm="1">
        <f t="array" ref="AA127">_xlfn.IFS(H127&gt;30,"high",H127&gt;20,"medium",H127&lt;=20,"low")</f>
        <v>high</v>
      </c>
      <c r="AB127" s="13" t="b">
        <f t="shared" si="8"/>
        <v>1</v>
      </c>
      <c r="AC127" s="13" t="b">
        <f t="shared" si="9"/>
        <v>1</v>
      </c>
    </row>
    <row r="128" spans="1:29">
      <c r="A128" s="10" t="s">
        <v>270</v>
      </c>
      <c r="B128" s="12">
        <v>45924</v>
      </c>
      <c r="C128" s="10" t="s">
        <v>21</v>
      </c>
      <c r="D128" s="10" t="s">
        <v>6</v>
      </c>
      <c r="E128" s="10" t="s">
        <v>12</v>
      </c>
      <c r="F128" s="13">
        <v>25.27</v>
      </c>
      <c r="G128" s="13">
        <v>3.66</v>
      </c>
      <c r="H128" s="13">
        <f t="shared" si="5"/>
        <v>28.93</v>
      </c>
      <c r="I128" s="13">
        <f t="shared" si="6"/>
        <v>16.295000000000002</v>
      </c>
      <c r="J128" s="13"/>
      <c r="K128" s="13"/>
      <c r="L128" s="13"/>
      <c r="M128" s="13"/>
      <c r="N128" s="13"/>
      <c r="O128" s="13"/>
      <c r="P128" s="13"/>
      <c r="Q128" s="13"/>
      <c r="R128" s="13"/>
      <c r="S128" s="13"/>
      <c r="T128" s="13"/>
      <c r="U128" s="13"/>
      <c r="V128" s="13"/>
      <c r="W128" s="13"/>
      <c r="X128" s="13"/>
      <c r="Y128" s="13"/>
      <c r="Z128" s="13" t="str">
        <f t="shared" si="7"/>
        <v>low</v>
      </c>
      <c r="AA128" s="13" t="str" cm="1">
        <f t="array" ref="AA128">_xlfn.IFS(H128&gt;30,"high",H128&gt;20,"medium",H128&lt;=20,"low")</f>
        <v>medium</v>
      </c>
      <c r="AB128" s="13" t="b">
        <f t="shared" si="8"/>
        <v>1</v>
      </c>
      <c r="AC128" s="13" t="b">
        <f t="shared" si="9"/>
        <v>1</v>
      </c>
    </row>
    <row r="129" spans="1:29">
      <c r="A129" s="10" t="s">
        <v>101</v>
      </c>
      <c r="B129" s="12">
        <v>46023</v>
      </c>
      <c r="C129" s="10" t="s">
        <v>7</v>
      </c>
      <c r="D129" s="10" t="s">
        <v>226</v>
      </c>
      <c r="E129" s="10" t="s">
        <v>269</v>
      </c>
      <c r="F129" s="13">
        <v>4.2699999999999996</v>
      </c>
      <c r="G129" s="13">
        <v>4.7</v>
      </c>
      <c r="H129" s="13">
        <f t="shared" si="5"/>
        <v>8.9699999999999989</v>
      </c>
      <c r="I129" s="13">
        <f t="shared" si="6"/>
        <v>6.8349999999999991</v>
      </c>
      <c r="J129" s="13"/>
      <c r="K129" s="13"/>
      <c r="L129" s="13"/>
      <c r="M129" s="13"/>
      <c r="N129" s="13"/>
      <c r="O129" s="13"/>
      <c r="P129" s="13"/>
      <c r="Q129" s="13"/>
      <c r="R129" s="13"/>
      <c r="S129" s="13"/>
      <c r="T129" s="13"/>
      <c r="U129" s="13"/>
      <c r="V129" s="13"/>
      <c r="W129" s="13"/>
      <c r="X129" s="13"/>
      <c r="Y129" s="13"/>
      <c r="Z129" s="13" t="str">
        <f t="shared" si="7"/>
        <v>low</v>
      </c>
      <c r="AA129" s="13" t="str" cm="1">
        <f t="array" ref="AA129">_xlfn.IFS(H129&gt;30,"high",H129&gt;20,"medium",H129&lt;=20,"low")</f>
        <v>low</v>
      </c>
      <c r="AB129" s="13" t="b">
        <f t="shared" si="8"/>
        <v>0</v>
      </c>
      <c r="AC129" s="13" t="b">
        <f t="shared" si="9"/>
        <v>1</v>
      </c>
    </row>
    <row r="130" spans="1:29">
      <c r="A130" s="10" t="s">
        <v>102</v>
      </c>
      <c r="B130" s="12">
        <v>45946</v>
      </c>
      <c r="C130" s="10" t="s">
        <v>7</v>
      </c>
      <c r="D130" s="10" t="s">
        <v>226</v>
      </c>
      <c r="E130" s="10" t="s">
        <v>8</v>
      </c>
      <c r="F130" s="13">
        <v>26.83</v>
      </c>
      <c r="G130" s="13">
        <v>1.23</v>
      </c>
      <c r="H130" s="13">
        <f t="shared" si="5"/>
        <v>28.06</v>
      </c>
      <c r="I130" s="13">
        <f t="shared" si="6"/>
        <v>14.645</v>
      </c>
      <c r="J130" s="13"/>
      <c r="K130" s="13"/>
      <c r="L130" s="13"/>
      <c r="M130" s="13"/>
      <c r="N130" s="13"/>
      <c r="O130" s="13"/>
      <c r="P130" s="13"/>
      <c r="Q130" s="13"/>
      <c r="R130" s="13"/>
      <c r="S130" s="13"/>
      <c r="T130" s="13"/>
      <c r="U130" s="13"/>
      <c r="V130" s="13"/>
      <c r="W130" s="13"/>
      <c r="X130" s="13"/>
      <c r="Y130" s="13"/>
      <c r="Z130" s="13" t="str">
        <f t="shared" si="7"/>
        <v>low</v>
      </c>
      <c r="AA130" s="13" t="str" cm="1">
        <f t="array" ref="AA130">_xlfn.IFS(H130&gt;30,"high",H130&gt;20,"medium",H130&lt;=20,"low")</f>
        <v>medium</v>
      </c>
      <c r="AB130" s="13" t="b">
        <f t="shared" si="8"/>
        <v>1</v>
      </c>
      <c r="AC130" s="13" t="b">
        <f t="shared" si="9"/>
        <v>1</v>
      </c>
    </row>
    <row r="131" spans="1:29">
      <c r="A131" s="10" t="s">
        <v>271</v>
      </c>
      <c r="B131" s="12">
        <v>46072</v>
      </c>
      <c r="C131" s="10" t="s">
        <v>19</v>
      </c>
      <c r="D131" s="10" t="s">
        <v>226</v>
      </c>
      <c r="E131" s="10" t="s">
        <v>15</v>
      </c>
      <c r="F131" s="13">
        <v>28.6</v>
      </c>
      <c r="G131" s="13">
        <v>2.8</v>
      </c>
      <c r="H131" s="13">
        <f t="shared" ref="H131:H194" si="10">SUM(F131,G131)</f>
        <v>31.400000000000002</v>
      </c>
      <c r="I131" s="13">
        <f t="shared" ref="I131:I194" si="11">AVERAGE(G131,H131)</f>
        <v>17.100000000000001</v>
      </c>
      <c r="J131" s="13"/>
      <c r="K131" s="13"/>
      <c r="L131" s="13"/>
      <c r="M131" s="13"/>
      <c r="N131" s="13"/>
      <c r="O131" s="13"/>
      <c r="P131" s="13"/>
      <c r="Q131" s="13"/>
      <c r="R131" s="13"/>
      <c r="S131" s="13"/>
      <c r="T131" s="13"/>
      <c r="U131" s="13"/>
      <c r="V131" s="13"/>
      <c r="W131" s="13"/>
      <c r="X131" s="13"/>
      <c r="Y131" s="13"/>
      <c r="Z131" s="13" t="str">
        <f t="shared" ref="Z131:Z194" si="12">IF(H131&gt;30,"high","low")</f>
        <v>high</v>
      </c>
      <c r="AA131" s="13" t="str" cm="1">
        <f t="array" ref="AA131">_xlfn.IFS(H131&gt;30,"high",H131&gt;20,"medium",H131&lt;=20,"low")</f>
        <v>high</v>
      </c>
      <c r="AB131" s="13" t="b">
        <f t="shared" ref="AB131:AB194" si="13">AND(I131&gt;10,I131&lt;30)</f>
        <v>1</v>
      </c>
      <c r="AC131" s="13" t="b">
        <f t="shared" ref="AC131:AC194" si="14">OR(I131&gt;10,I131&lt;30)</f>
        <v>1</v>
      </c>
    </row>
    <row r="132" spans="1:29">
      <c r="A132" s="10" t="s">
        <v>103</v>
      </c>
      <c r="B132" s="12">
        <v>45897</v>
      </c>
      <c r="C132" s="10" t="s">
        <v>9</v>
      </c>
      <c r="D132" s="10" t="s">
        <v>226</v>
      </c>
      <c r="E132" s="10" t="s">
        <v>8</v>
      </c>
      <c r="F132" s="13">
        <v>41.23</v>
      </c>
      <c r="G132" s="13">
        <v>6.8</v>
      </c>
      <c r="H132" s="13">
        <f t="shared" si="10"/>
        <v>48.029999999999994</v>
      </c>
      <c r="I132" s="13">
        <f t="shared" si="11"/>
        <v>27.414999999999996</v>
      </c>
      <c r="J132" s="13"/>
      <c r="K132" s="13"/>
      <c r="L132" s="13"/>
      <c r="M132" s="13"/>
      <c r="N132" s="13"/>
      <c r="O132" s="13"/>
      <c r="P132" s="13"/>
      <c r="Q132" s="13"/>
      <c r="R132" s="13"/>
      <c r="S132" s="13"/>
      <c r="T132" s="13"/>
      <c r="U132" s="13"/>
      <c r="V132" s="13"/>
      <c r="W132" s="13"/>
      <c r="X132" s="13"/>
      <c r="Y132" s="13"/>
      <c r="Z132" s="13" t="str">
        <f t="shared" si="12"/>
        <v>high</v>
      </c>
      <c r="AA132" s="13" t="str" cm="1">
        <f t="array" ref="AA132">_xlfn.IFS(H132&gt;30,"high",H132&gt;20,"medium",H132&lt;=20,"low")</f>
        <v>high</v>
      </c>
      <c r="AB132" s="13" t="b">
        <f t="shared" si="13"/>
        <v>1</v>
      </c>
      <c r="AC132" s="13" t="b">
        <f t="shared" si="14"/>
        <v>1</v>
      </c>
    </row>
    <row r="133" spans="1:29">
      <c r="A133" s="10" t="s">
        <v>272</v>
      </c>
      <c r="B133" s="12">
        <v>46194</v>
      </c>
      <c r="C133" s="10" t="s">
        <v>7</v>
      </c>
      <c r="D133" s="10" t="s">
        <v>224</v>
      </c>
      <c r="E133" s="10" t="s">
        <v>15</v>
      </c>
      <c r="F133" s="13">
        <v>20.93</v>
      </c>
      <c r="G133" s="13">
        <v>5.32</v>
      </c>
      <c r="H133" s="13">
        <f t="shared" si="10"/>
        <v>26.25</v>
      </c>
      <c r="I133" s="13">
        <f t="shared" si="11"/>
        <v>15.785</v>
      </c>
      <c r="J133" s="13"/>
      <c r="K133" s="13"/>
      <c r="L133" s="13"/>
      <c r="M133" s="13"/>
      <c r="N133" s="13"/>
      <c r="O133" s="13"/>
      <c r="P133" s="13"/>
      <c r="Q133" s="13"/>
      <c r="R133" s="13"/>
      <c r="S133" s="13"/>
      <c r="T133" s="13"/>
      <c r="U133" s="13"/>
      <c r="V133" s="13"/>
      <c r="W133" s="13"/>
      <c r="X133" s="13"/>
      <c r="Y133" s="13"/>
      <c r="Z133" s="13" t="str">
        <f t="shared" si="12"/>
        <v>low</v>
      </c>
      <c r="AA133" s="13" t="str" cm="1">
        <f t="array" ref="AA133">_xlfn.IFS(H133&gt;30,"high",H133&gt;20,"medium",H133&lt;=20,"low")</f>
        <v>medium</v>
      </c>
      <c r="AB133" s="13" t="b">
        <f t="shared" si="13"/>
        <v>1</v>
      </c>
      <c r="AC133" s="13" t="b">
        <f t="shared" si="14"/>
        <v>1</v>
      </c>
    </row>
    <row r="134" spans="1:29">
      <c r="A134" s="10" t="s">
        <v>104</v>
      </c>
      <c r="B134" s="12">
        <v>45712</v>
      </c>
      <c r="C134" s="10" t="s">
        <v>7</v>
      </c>
      <c r="D134" s="10" t="s">
        <v>224</v>
      </c>
      <c r="E134" s="10" t="s">
        <v>8</v>
      </c>
      <c r="F134" s="13">
        <v>2.86</v>
      </c>
      <c r="G134" s="13">
        <v>1.7</v>
      </c>
      <c r="H134" s="13">
        <f t="shared" si="10"/>
        <v>4.5599999999999996</v>
      </c>
      <c r="I134" s="13">
        <f t="shared" si="11"/>
        <v>3.13</v>
      </c>
      <c r="J134" s="13"/>
      <c r="K134" s="13"/>
      <c r="L134" s="13"/>
      <c r="M134" s="13"/>
      <c r="N134" s="13"/>
      <c r="O134" s="13"/>
      <c r="P134" s="13"/>
      <c r="Q134" s="13"/>
      <c r="R134" s="13"/>
      <c r="S134" s="13"/>
      <c r="T134" s="13"/>
      <c r="U134" s="13"/>
      <c r="V134" s="13"/>
      <c r="W134" s="13"/>
      <c r="X134" s="13"/>
      <c r="Y134" s="13"/>
      <c r="Z134" s="13" t="str">
        <f t="shared" si="12"/>
        <v>low</v>
      </c>
      <c r="AA134" s="13" t="str" cm="1">
        <f t="array" ref="AA134">_xlfn.IFS(H134&gt;30,"high",H134&gt;20,"medium",H134&lt;=20,"low")</f>
        <v>low</v>
      </c>
      <c r="AB134" s="13" t="b">
        <f t="shared" si="13"/>
        <v>0</v>
      </c>
      <c r="AC134" s="13" t="b">
        <f t="shared" si="14"/>
        <v>1</v>
      </c>
    </row>
    <row r="135" spans="1:29">
      <c r="A135" s="10" t="s">
        <v>105</v>
      </c>
      <c r="B135" s="12">
        <v>45857</v>
      </c>
      <c r="C135" s="10" t="s">
        <v>19</v>
      </c>
      <c r="D135" s="10" t="s">
        <v>226</v>
      </c>
      <c r="E135" s="10" t="s">
        <v>15</v>
      </c>
      <c r="F135" s="13">
        <v>3</v>
      </c>
      <c r="G135" s="13">
        <v>7.97</v>
      </c>
      <c r="H135" s="13">
        <f t="shared" si="10"/>
        <v>10.969999999999999</v>
      </c>
      <c r="I135" s="13">
        <f t="shared" si="11"/>
        <v>9.4699999999999989</v>
      </c>
      <c r="J135" s="13"/>
      <c r="K135" s="13"/>
      <c r="L135" s="13"/>
      <c r="M135" s="13"/>
      <c r="N135" s="13"/>
      <c r="O135" s="13"/>
      <c r="P135" s="13"/>
      <c r="Q135" s="13"/>
      <c r="R135" s="13"/>
      <c r="S135" s="13"/>
      <c r="T135" s="13"/>
      <c r="U135" s="13"/>
      <c r="V135" s="13"/>
      <c r="W135" s="13"/>
      <c r="X135" s="13"/>
      <c r="Y135" s="13"/>
      <c r="Z135" s="13" t="str">
        <f t="shared" si="12"/>
        <v>low</v>
      </c>
      <c r="AA135" s="13" t="str" cm="1">
        <f t="array" ref="AA135">_xlfn.IFS(H135&gt;30,"high",H135&gt;20,"medium",H135&lt;=20,"low")</f>
        <v>low</v>
      </c>
      <c r="AB135" s="13" t="b">
        <f t="shared" si="13"/>
        <v>0</v>
      </c>
      <c r="AC135" s="13" t="b">
        <f t="shared" si="14"/>
        <v>1</v>
      </c>
    </row>
    <row r="136" spans="1:29">
      <c r="A136" s="10" t="s">
        <v>106</v>
      </c>
      <c r="B136" s="12">
        <v>45741</v>
      </c>
      <c r="C136" s="10" t="s">
        <v>5</v>
      </c>
      <c r="D136" s="10" t="s">
        <v>224</v>
      </c>
      <c r="E136" s="10" t="s">
        <v>15</v>
      </c>
      <c r="F136" s="13">
        <v>29.32</v>
      </c>
      <c r="G136" s="13">
        <v>1.62</v>
      </c>
      <c r="H136" s="13">
        <f t="shared" si="10"/>
        <v>30.94</v>
      </c>
      <c r="I136" s="13">
        <f t="shared" si="11"/>
        <v>16.28</v>
      </c>
      <c r="J136" s="13"/>
      <c r="K136" s="13"/>
      <c r="L136" s="13"/>
      <c r="M136" s="13"/>
      <c r="N136" s="13"/>
      <c r="O136" s="13"/>
      <c r="P136" s="13"/>
      <c r="Q136" s="13"/>
      <c r="R136" s="13"/>
      <c r="S136" s="13"/>
      <c r="T136" s="13"/>
      <c r="U136" s="13"/>
      <c r="V136" s="13"/>
      <c r="W136" s="13"/>
      <c r="X136" s="13"/>
      <c r="Y136" s="13"/>
      <c r="Z136" s="13" t="str">
        <f t="shared" si="12"/>
        <v>high</v>
      </c>
      <c r="AA136" s="13" t="str" cm="1">
        <f t="array" ref="AA136">_xlfn.IFS(H136&gt;30,"high",H136&gt;20,"medium",H136&lt;=20,"low")</f>
        <v>high</v>
      </c>
      <c r="AB136" s="13" t="b">
        <f t="shared" si="13"/>
        <v>1</v>
      </c>
      <c r="AC136" s="13" t="b">
        <f t="shared" si="14"/>
        <v>1</v>
      </c>
    </row>
    <row r="137" spans="1:29">
      <c r="A137" s="10" t="s">
        <v>274</v>
      </c>
      <c r="B137" s="12">
        <v>46144</v>
      </c>
      <c r="C137" s="10" t="s">
        <v>9</v>
      </c>
      <c r="D137" s="10" t="s">
        <v>226</v>
      </c>
      <c r="E137" s="10" t="s">
        <v>12</v>
      </c>
      <c r="F137" s="13">
        <v>39.130000000000003</v>
      </c>
      <c r="G137" s="13">
        <v>1.54</v>
      </c>
      <c r="H137" s="13">
        <f t="shared" si="10"/>
        <v>40.67</v>
      </c>
      <c r="I137" s="13">
        <f t="shared" si="11"/>
        <v>21.105</v>
      </c>
      <c r="J137" s="13"/>
      <c r="K137" s="13"/>
      <c r="L137" s="13"/>
      <c r="M137" s="13"/>
      <c r="N137" s="13"/>
      <c r="O137" s="13"/>
      <c r="P137" s="13"/>
      <c r="Q137" s="13"/>
      <c r="R137" s="13"/>
      <c r="S137" s="13"/>
      <c r="T137" s="13"/>
      <c r="U137" s="13"/>
      <c r="V137" s="13"/>
      <c r="W137" s="13"/>
      <c r="X137" s="13"/>
      <c r="Y137" s="13"/>
      <c r="Z137" s="13" t="str">
        <f t="shared" si="12"/>
        <v>high</v>
      </c>
      <c r="AA137" s="13" t="str" cm="1">
        <f t="array" ref="AA137">_xlfn.IFS(H137&gt;30,"high",H137&gt;20,"medium",H137&lt;=20,"low")</f>
        <v>high</v>
      </c>
      <c r="AB137" s="13" t="b">
        <f t="shared" si="13"/>
        <v>1</v>
      </c>
      <c r="AC137" s="13" t="b">
        <f t="shared" si="14"/>
        <v>1</v>
      </c>
    </row>
    <row r="138" spans="1:29">
      <c r="A138" s="10" t="s">
        <v>275</v>
      </c>
      <c r="B138" s="12">
        <v>46164</v>
      </c>
      <c r="C138" s="10" t="s">
        <v>19</v>
      </c>
      <c r="D138" s="10" t="s">
        <v>224</v>
      </c>
      <c r="E138" s="10" t="s">
        <v>8</v>
      </c>
      <c r="F138" s="13">
        <v>31.36</v>
      </c>
      <c r="G138" s="13">
        <v>3.94</v>
      </c>
      <c r="H138" s="13">
        <f t="shared" si="10"/>
        <v>35.299999999999997</v>
      </c>
      <c r="I138" s="13">
        <f t="shared" si="11"/>
        <v>19.619999999999997</v>
      </c>
      <c r="J138" s="13"/>
      <c r="K138" s="13"/>
      <c r="L138" s="13"/>
      <c r="M138" s="13"/>
      <c r="N138" s="13"/>
      <c r="O138" s="13"/>
      <c r="P138" s="13"/>
      <c r="Q138" s="13"/>
      <c r="R138" s="13"/>
      <c r="S138" s="13"/>
      <c r="T138" s="13"/>
      <c r="U138" s="13"/>
      <c r="V138" s="13"/>
      <c r="W138" s="13"/>
      <c r="X138" s="13"/>
      <c r="Y138" s="13"/>
      <c r="Z138" s="13" t="str">
        <f t="shared" si="12"/>
        <v>high</v>
      </c>
      <c r="AA138" s="13" t="str" cm="1">
        <f t="array" ref="AA138">_xlfn.IFS(H138&gt;30,"high",H138&gt;20,"medium",H138&lt;=20,"low")</f>
        <v>high</v>
      </c>
      <c r="AB138" s="13" t="b">
        <f t="shared" si="13"/>
        <v>1</v>
      </c>
      <c r="AC138" s="13" t="b">
        <f t="shared" si="14"/>
        <v>1</v>
      </c>
    </row>
    <row r="139" spans="1:29">
      <c r="A139" s="10" t="s">
        <v>107</v>
      </c>
      <c r="B139" s="12">
        <v>45945</v>
      </c>
      <c r="C139" s="10" t="s">
        <v>14</v>
      </c>
      <c r="D139" s="10" t="s">
        <v>6</v>
      </c>
      <c r="E139" s="10" t="s">
        <v>12</v>
      </c>
      <c r="F139" s="13">
        <v>39.79</v>
      </c>
      <c r="G139" s="13">
        <v>8.2899999999999991</v>
      </c>
      <c r="H139" s="13">
        <f t="shared" si="10"/>
        <v>48.08</v>
      </c>
      <c r="I139" s="13">
        <f t="shared" si="11"/>
        <v>28.184999999999999</v>
      </c>
      <c r="J139" s="13"/>
      <c r="K139" s="13"/>
      <c r="L139" s="13"/>
      <c r="M139" s="13"/>
      <c r="N139" s="13"/>
      <c r="O139" s="13"/>
      <c r="P139" s="13"/>
      <c r="Q139" s="13"/>
      <c r="R139" s="13"/>
      <c r="S139" s="13"/>
      <c r="T139" s="13"/>
      <c r="U139" s="13"/>
      <c r="V139" s="13"/>
      <c r="W139" s="13"/>
      <c r="X139" s="13"/>
      <c r="Y139" s="13"/>
      <c r="Z139" s="13" t="str">
        <f t="shared" si="12"/>
        <v>high</v>
      </c>
      <c r="AA139" s="13" t="str" cm="1">
        <f t="array" ref="AA139">_xlfn.IFS(H139&gt;30,"high",H139&gt;20,"medium",H139&lt;=20,"low")</f>
        <v>high</v>
      </c>
      <c r="AB139" s="13" t="b">
        <f t="shared" si="13"/>
        <v>1</v>
      </c>
      <c r="AC139" s="13" t="b">
        <f t="shared" si="14"/>
        <v>1</v>
      </c>
    </row>
    <row r="140" spans="1:29">
      <c r="A140" s="10" t="s">
        <v>276</v>
      </c>
      <c r="B140" s="12">
        <v>46195</v>
      </c>
      <c r="C140" s="10" t="s">
        <v>110</v>
      </c>
      <c r="D140" s="10" t="s">
        <v>224</v>
      </c>
      <c r="E140" s="10" t="s">
        <v>15</v>
      </c>
      <c r="F140" s="13">
        <v>-5</v>
      </c>
      <c r="G140" s="13">
        <v>10.36</v>
      </c>
      <c r="H140" s="13">
        <f t="shared" si="10"/>
        <v>5.3599999999999994</v>
      </c>
      <c r="I140" s="13">
        <f t="shared" si="11"/>
        <v>7.8599999999999994</v>
      </c>
      <c r="J140" s="13"/>
      <c r="K140" s="13"/>
      <c r="L140" s="13"/>
      <c r="M140" s="13"/>
      <c r="N140" s="13"/>
      <c r="O140" s="13"/>
      <c r="P140" s="13"/>
      <c r="Q140" s="13"/>
      <c r="R140" s="13"/>
      <c r="S140" s="13"/>
      <c r="T140" s="13"/>
      <c r="U140" s="13"/>
      <c r="V140" s="13"/>
      <c r="W140" s="13"/>
      <c r="X140" s="13"/>
      <c r="Y140" s="13"/>
      <c r="Z140" s="13" t="str">
        <f t="shared" si="12"/>
        <v>low</v>
      </c>
      <c r="AA140" s="13" t="str" cm="1">
        <f t="array" ref="AA140">_xlfn.IFS(H140&gt;30,"high",H140&gt;20,"medium",H140&lt;=20,"low")</f>
        <v>low</v>
      </c>
      <c r="AB140" s="13" t="b">
        <f t="shared" si="13"/>
        <v>0</v>
      </c>
      <c r="AC140" s="13" t="b">
        <f t="shared" si="14"/>
        <v>1</v>
      </c>
    </row>
    <row r="141" spans="1:29">
      <c r="A141" s="10" t="s">
        <v>108</v>
      </c>
      <c r="B141" s="12">
        <v>45886</v>
      </c>
      <c r="C141" s="10" t="s">
        <v>5</v>
      </c>
      <c r="D141" s="10" t="s">
        <v>224</v>
      </c>
      <c r="E141" s="10" t="s">
        <v>15</v>
      </c>
      <c r="F141" s="13">
        <v>6.74</v>
      </c>
      <c r="G141" s="13">
        <v>5.84</v>
      </c>
      <c r="H141" s="13">
        <f t="shared" si="10"/>
        <v>12.58</v>
      </c>
      <c r="I141" s="13">
        <f t="shared" si="11"/>
        <v>9.2100000000000009</v>
      </c>
      <c r="J141" s="13"/>
      <c r="K141" s="13"/>
      <c r="L141" s="13"/>
      <c r="M141" s="13"/>
      <c r="N141" s="13"/>
      <c r="O141" s="13"/>
      <c r="P141" s="13"/>
      <c r="Q141" s="13"/>
      <c r="R141" s="13"/>
      <c r="S141" s="13"/>
      <c r="T141" s="13"/>
      <c r="U141" s="13"/>
      <c r="V141" s="13"/>
      <c r="W141" s="13"/>
      <c r="X141" s="13"/>
      <c r="Y141" s="13"/>
      <c r="Z141" s="13" t="str">
        <f t="shared" si="12"/>
        <v>low</v>
      </c>
      <c r="AA141" s="13" t="str" cm="1">
        <f t="array" ref="AA141">_xlfn.IFS(H141&gt;30,"high",H141&gt;20,"medium",H141&lt;=20,"low")</f>
        <v>low</v>
      </c>
      <c r="AB141" s="13" t="b">
        <f t="shared" si="13"/>
        <v>0</v>
      </c>
      <c r="AC141" s="13" t="b">
        <f t="shared" si="14"/>
        <v>1</v>
      </c>
    </row>
    <row r="142" spans="1:29">
      <c r="A142" s="10" t="s">
        <v>109</v>
      </c>
      <c r="B142" s="12">
        <v>46175</v>
      </c>
      <c r="C142" s="10" t="s">
        <v>5</v>
      </c>
      <c r="D142" s="10" t="s">
        <v>6</v>
      </c>
      <c r="E142" s="10" t="s">
        <v>12</v>
      </c>
      <c r="F142" s="13">
        <v>42.17</v>
      </c>
      <c r="G142" s="13">
        <v>2.58</v>
      </c>
      <c r="H142" s="13">
        <f t="shared" si="10"/>
        <v>44.75</v>
      </c>
      <c r="I142" s="13">
        <f t="shared" si="11"/>
        <v>23.664999999999999</v>
      </c>
      <c r="J142" s="13"/>
      <c r="K142" s="13"/>
      <c r="L142" s="13"/>
      <c r="M142" s="13"/>
      <c r="N142" s="13"/>
      <c r="O142" s="13"/>
      <c r="P142" s="13"/>
      <c r="Q142" s="13"/>
      <c r="R142" s="13"/>
      <c r="S142" s="13"/>
      <c r="T142" s="13"/>
      <c r="U142" s="13"/>
      <c r="V142" s="13"/>
      <c r="W142" s="13"/>
      <c r="X142" s="13"/>
      <c r="Y142" s="13"/>
      <c r="Z142" s="13" t="str">
        <f t="shared" si="12"/>
        <v>high</v>
      </c>
      <c r="AA142" s="13" t="str" cm="1">
        <f t="array" ref="AA142">_xlfn.IFS(H142&gt;30,"high",H142&gt;20,"medium",H142&lt;=20,"low")</f>
        <v>high</v>
      </c>
      <c r="AB142" s="13" t="b">
        <f t="shared" si="13"/>
        <v>1</v>
      </c>
      <c r="AC142" s="13" t="b">
        <f t="shared" si="14"/>
        <v>1</v>
      </c>
    </row>
    <row r="143" spans="1:29">
      <c r="A143" s="10" t="s">
        <v>277</v>
      </c>
      <c r="B143" s="12">
        <v>45698</v>
      </c>
      <c r="C143" s="10" t="s">
        <v>5</v>
      </c>
      <c r="D143" s="10" t="s">
        <v>224</v>
      </c>
      <c r="E143" s="10" t="s">
        <v>12</v>
      </c>
      <c r="F143" s="13">
        <v>17.95</v>
      </c>
      <c r="G143" s="13">
        <v>3.95</v>
      </c>
      <c r="H143" s="13">
        <f t="shared" si="10"/>
        <v>21.9</v>
      </c>
      <c r="I143" s="13">
        <f t="shared" si="11"/>
        <v>12.924999999999999</v>
      </c>
      <c r="J143" s="13"/>
      <c r="K143" s="13"/>
      <c r="L143" s="13"/>
      <c r="M143" s="13"/>
      <c r="N143" s="13"/>
      <c r="O143" s="13"/>
      <c r="P143" s="13"/>
      <c r="Q143" s="13"/>
      <c r="R143" s="13"/>
      <c r="S143" s="13"/>
      <c r="T143" s="13"/>
      <c r="U143" s="13"/>
      <c r="V143" s="13"/>
      <c r="W143" s="13"/>
      <c r="X143" s="13"/>
      <c r="Y143" s="13"/>
      <c r="Z143" s="13" t="str">
        <f t="shared" si="12"/>
        <v>low</v>
      </c>
      <c r="AA143" s="13" t="str" cm="1">
        <f t="array" ref="AA143">_xlfn.IFS(H143&gt;30,"high",H143&gt;20,"medium",H143&lt;=20,"low")</f>
        <v>medium</v>
      </c>
      <c r="AB143" s="13" t="b">
        <f t="shared" si="13"/>
        <v>1</v>
      </c>
      <c r="AC143" s="13" t="b">
        <f t="shared" si="14"/>
        <v>1</v>
      </c>
    </row>
    <row r="144" spans="1:29">
      <c r="A144" s="10" t="s">
        <v>111</v>
      </c>
      <c r="B144" s="12">
        <v>46226</v>
      </c>
      <c r="C144" s="10" t="s">
        <v>19</v>
      </c>
      <c r="D144" s="10" t="s">
        <v>226</v>
      </c>
      <c r="E144" s="10" t="s">
        <v>6</v>
      </c>
      <c r="F144" s="13">
        <v>24.03</v>
      </c>
      <c r="G144" s="13">
        <v>1.99</v>
      </c>
      <c r="H144" s="13">
        <f t="shared" si="10"/>
        <v>26.02</v>
      </c>
      <c r="I144" s="13">
        <f t="shared" si="11"/>
        <v>14.004999999999999</v>
      </c>
      <c r="J144" s="13"/>
      <c r="K144" s="13"/>
      <c r="L144" s="13"/>
      <c r="M144" s="13"/>
      <c r="N144" s="13"/>
      <c r="O144" s="13"/>
      <c r="P144" s="13"/>
      <c r="Q144" s="13"/>
      <c r="R144" s="13"/>
      <c r="S144" s="13"/>
      <c r="T144" s="13"/>
      <c r="U144" s="13"/>
      <c r="V144" s="13"/>
      <c r="W144" s="13"/>
      <c r="X144" s="13"/>
      <c r="Y144" s="13"/>
      <c r="Z144" s="13" t="str">
        <f t="shared" si="12"/>
        <v>low</v>
      </c>
      <c r="AA144" s="13" t="str" cm="1">
        <f t="array" ref="AA144">_xlfn.IFS(H144&gt;30,"high",H144&gt;20,"medium",H144&lt;=20,"low")</f>
        <v>medium</v>
      </c>
      <c r="AB144" s="13" t="b">
        <f t="shared" si="13"/>
        <v>1</v>
      </c>
      <c r="AC144" s="13" t="b">
        <f t="shared" si="14"/>
        <v>1</v>
      </c>
    </row>
    <row r="145" spans="1:29">
      <c r="A145" s="10" t="s">
        <v>278</v>
      </c>
      <c r="B145" s="12">
        <v>45864</v>
      </c>
      <c r="C145" s="10" t="s">
        <v>9</v>
      </c>
      <c r="D145" s="10" t="s">
        <v>226</v>
      </c>
      <c r="E145" s="10" t="s">
        <v>8</v>
      </c>
      <c r="F145" s="13">
        <v>43.79</v>
      </c>
      <c r="G145" s="13">
        <v>12.62</v>
      </c>
      <c r="H145" s="13">
        <f t="shared" si="10"/>
        <v>56.41</v>
      </c>
      <c r="I145" s="13">
        <f t="shared" si="11"/>
        <v>34.515000000000001</v>
      </c>
      <c r="J145" s="13"/>
      <c r="K145" s="13"/>
      <c r="L145" s="13"/>
      <c r="M145" s="13"/>
      <c r="N145" s="13"/>
      <c r="O145" s="13"/>
      <c r="P145" s="13"/>
      <c r="Q145" s="13"/>
      <c r="R145" s="13"/>
      <c r="S145" s="13"/>
      <c r="T145" s="13"/>
      <c r="U145" s="13"/>
      <c r="V145" s="13"/>
      <c r="W145" s="13"/>
      <c r="X145" s="13"/>
      <c r="Y145" s="13"/>
      <c r="Z145" s="13" t="str">
        <f t="shared" si="12"/>
        <v>high</v>
      </c>
      <c r="AA145" s="13" t="str" cm="1">
        <f t="array" ref="AA145">_xlfn.IFS(H145&gt;30,"high",H145&gt;20,"medium",H145&lt;=20,"low")</f>
        <v>high</v>
      </c>
      <c r="AB145" s="13" t="b">
        <f t="shared" si="13"/>
        <v>0</v>
      </c>
      <c r="AC145" s="13" t="b">
        <f t="shared" si="14"/>
        <v>1</v>
      </c>
    </row>
    <row r="146" spans="1:29">
      <c r="A146" s="10" t="s">
        <v>279</v>
      </c>
      <c r="B146" s="12">
        <v>46039</v>
      </c>
      <c r="C146" s="10" t="s">
        <v>5</v>
      </c>
      <c r="D146" s="10" t="s">
        <v>226</v>
      </c>
      <c r="E146" s="10" t="s">
        <v>15</v>
      </c>
      <c r="F146" s="13">
        <v>29.38</v>
      </c>
      <c r="G146" s="13">
        <v>5.9</v>
      </c>
      <c r="H146" s="13">
        <f t="shared" si="10"/>
        <v>35.28</v>
      </c>
      <c r="I146" s="13">
        <f t="shared" si="11"/>
        <v>20.59</v>
      </c>
      <c r="J146" s="13"/>
      <c r="K146" s="13"/>
      <c r="L146" s="13"/>
      <c r="M146" s="13"/>
      <c r="N146" s="13"/>
      <c r="O146" s="13"/>
      <c r="P146" s="13"/>
      <c r="Q146" s="13"/>
      <c r="R146" s="13"/>
      <c r="S146" s="13"/>
      <c r="T146" s="13"/>
      <c r="U146" s="13"/>
      <c r="V146" s="13"/>
      <c r="W146" s="13"/>
      <c r="X146" s="13"/>
      <c r="Y146" s="13"/>
      <c r="Z146" s="13" t="str">
        <f t="shared" si="12"/>
        <v>high</v>
      </c>
      <c r="AA146" s="13" t="str" cm="1">
        <f t="array" ref="AA146">_xlfn.IFS(H146&gt;30,"high",H146&gt;20,"medium",H146&lt;=20,"low")</f>
        <v>high</v>
      </c>
      <c r="AB146" s="13" t="b">
        <f t="shared" si="13"/>
        <v>1</v>
      </c>
      <c r="AC146" s="13" t="b">
        <f t="shared" si="14"/>
        <v>1</v>
      </c>
    </row>
    <row r="147" spans="1:29">
      <c r="A147" s="10" t="s">
        <v>112</v>
      </c>
      <c r="B147" s="12">
        <v>46213</v>
      </c>
      <c r="C147" s="10" t="s">
        <v>19</v>
      </c>
      <c r="D147" s="10" t="s">
        <v>224</v>
      </c>
      <c r="E147" s="10" t="s">
        <v>12</v>
      </c>
      <c r="F147" s="13">
        <v>5.86</v>
      </c>
      <c r="G147" s="13">
        <v>2.0299999999999998</v>
      </c>
      <c r="H147" s="13">
        <f t="shared" si="10"/>
        <v>7.8900000000000006</v>
      </c>
      <c r="I147" s="13">
        <f t="shared" si="11"/>
        <v>4.96</v>
      </c>
      <c r="J147" s="13"/>
      <c r="K147" s="13"/>
      <c r="L147" s="13"/>
      <c r="M147" s="13"/>
      <c r="N147" s="13"/>
      <c r="O147" s="13"/>
      <c r="P147" s="13"/>
      <c r="Q147" s="13"/>
      <c r="R147" s="13"/>
      <c r="S147" s="13"/>
      <c r="T147" s="13"/>
      <c r="U147" s="13"/>
      <c r="V147" s="13"/>
      <c r="W147" s="13"/>
      <c r="X147" s="13"/>
      <c r="Y147" s="13"/>
      <c r="Z147" s="13" t="str">
        <f t="shared" si="12"/>
        <v>low</v>
      </c>
      <c r="AA147" s="13" t="str" cm="1">
        <f t="array" ref="AA147">_xlfn.IFS(H147&gt;30,"high",H147&gt;20,"medium",H147&lt;=20,"low")</f>
        <v>low</v>
      </c>
      <c r="AB147" s="13" t="b">
        <f t="shared" si="13"/>
        <v>0</v>
      </c>
      <c r="AC147" s="13" t="b">
        <f t="shared" si="14"/>
        <v>1</v>
      </c>
    </row>
    <row r="148" spans="1:29">
      <c r="A148" s="10" t="s">
        <v>113</v>
      </c>
      <c r="B148" s="12">
        <v>45999</v>
      </c>
      <c r="C148" s="10" t="s">
        <v>21</v>
      </c>
      <c r="D148" s="10" t="s">
        <v>226</v>
      </c>
      <c r="E148" s="10" t="s">
        <v>8</v>
      </c>
      <c r="F148" s="13">
        <v>6.71</v>
      </c>
      <c r="G148" s="13">
        <v>8.35</v>
      </c>
      <c r="H148" s="13">
        <f t="shared" si="10"/>
        <v>15.059999999999999</v>
      </c>
      <c r="I148" s="13">
        <f t="shared" si="11"/>
        <v>11.704999999999998</v>
      </c>
      <c r="J148" s="13"/>
      <c r="K148" s="13"/>
      <c r="L148" s="13"/>
      <c r="M148" s="13"/>
      <c r="N148" s="13"/>
      <c r="O148" s="13"/>
      <c r="P148" s="13"/>
      <c r="Q148" s="13"/>
      <c r="R148" s="13"/>
      <c r="S148" s="13"/>
      <c r="T148" s="13"/>
      <c r="U148" s="13"/>
      <c r="V148" s="13"/>
      <c r="W148" s="13"/>
      <c r="X148" s="13"/>
      <c r="Y148" s="13"/>
      <c r="Z148" s="13" t="str">
        <f t="shared" si="12"/>
        <v>low</v>
      </c>
      <c r="AA148" s="13" t="str" cm="1">
        <f t="array" ref="AA148">_xlfn.IFS(H148&gt;30,"high",H148&gt;20,"medium",H148&lt;=20,"low")</f>
        <v>low</v>
      </c>
      <c r="AB148" s="13" t="b">
        <f t="shared" si="13"/>
        <v>1</v>
      </c>
      <c r="AC148" s="13" t="b">
        <f t="shared" si="14"/>
        <v>1</v>
      </c>
    </row>
    <row r="149" spans="1:29">
      <c r="A149" s="10" t="s">
        <v>280</v>
      </c>
      <c r="B149" s="12">
        <v>46165</v>
      </c>
      <c r="C149" s="10" t="s">
        <v>19</v>
      </c>
      <c r="D149" s="10" t="s">
        <v>226</v>
      </c>
      <c r="E149" s="10" t="s">
        <v>8</v>
      </c>
      <c r="F149" s="13">
        <v>10.16</v>
      </c>
      <c r="G149" s="13">
        <v>2.31</v>
      </c>
      <c r="H149" s="13">
        <f t="shared" si="10"/>
        <v>12.47</v>
      </c>
      <c r="I149" s="13">
        <f t="shared" si="11"/>
        <v>7.3900000000000006</v>
      </c>
      <c r="J149" s="13"/>
      <c r="K149" s="13"/>
      <c r="L149" s="13"/>
      <c r="M149" s="13"/>
      <c r="N149" s="13"/>
      <c r="O149" s="13"/>
      <c r="P149" s="13"/>
      <c r="Q149" s="13"/>
      <c r="R149" s="13"/>
      <c r="S149" s="13"/>
      <c r="T149" s="13"/>
      <c r="U149" s="13"/>
      <c r="V149" s="13"/>
      <c r="W149" s="13"/>
      <c r="X149" s="13"/>
      <c r="Y149" s="13"/>
      <c r="Z149" s="13" t="str">
        <f t="shared" si="12"/>
        <v>low</v>
      </c>
      <c r="AA149" s="13" t="str" cm="1">
        <f t="array" ref="AA149">_xlfn.IFS(H149&gt;30,"high",H149&gt;20,"medium",H149&lt;=20,"low")</f>
        <v>low</v>
      </c>
      <c r="AB149" s="13" t="b">
        <f t="shared" si="13"/>
        <v>0</v>
      </c>
      <c r="AC149" s="13" t="b">
        <f t="shared" si="14"/>
        <v>1</v>
      </c>
    </row>
    <row r="150" spans="1:29">
      <c r="A150" s="10" t="s">
        <v>114</v>
      </c>
      <c r="B150" s="12">
        <v>45732</v>
      </c>
      <c r="C150" s="10" t="s">
        <v>21</v>
      </c>
      <c r="D150" s="10" t="s">
        <v>226</v>
      </c>
      <c r="E150" s="10" t="s">
        <v>8</v>
      </c>
      <c r="F150" s="13">
        <v>11.1</v>
      </c>
      <c r="G150" s="13">
        <v>8.24</v>
      </c>
      <c r="H150" s="13">
        <f t="shared" si="10"/>
        <v>19.34</v>
      </c>
      <c r="I150" s="13">
        <f t="shared" si="11"/>
        <v>13.79</v>
      </c>
      <c r="J150" s="13"/>
      <c r="K150" s="13"/>
      <c r="L150" s="13"/>
      <c r="M150" s="13"/>
      <c r="N150" s="13"/>
      <c r="O150" s="13"/>
      <c r="P150" s="13"/>
      <c r="Q150" s="13"/>
      <c r="R150" s="13"/>
      <c r="S150" s="13"/>
      <c r="T150" s="13"/>
      <c r="U150" s="13"/>
      <c r="V150" s="13"/>
      <c r="W150" s="13"/>
      <c r="X150" s="13"/>
      <c r="Y150" s="13"/>
      <c r="Z150" s="13" t="str">
        <f t="shared" si="12"/>
        <v>low</v>
      </c>
      <c r="AA150" s="13" t="str" cm="1">
        <f t="array" ref="AA150">_xlfn.IFS(H150&gt;30,"high",H150&gt;20,"medium",H150&lt;=20,"low")</f>
        <v>low</v>
      </c>
      <c r="AB150" s="13" t="b">
        <f t="shared" si="13"/>
        <v>1</v>
      </c>
      <c r="AC150" s="13" t="b">
        <f t="shared" si="14"/>
        <v>1</v>
      </c>
    </row>
    <row r="151" spans="1:29">
      <c r="A151" s="10" t="s">
        <v>281</v>
      </c>
      <c r="B151" s="12">
        <v>46039</v>
      </c>
      <c r="C151" s="10" t="s">
        <v>5</v>
      </c>
      <c r="D151" s="10" t="s">
        <v>6</v>
      </c>
      <c r="E151" s="10" t="s">
        <v>8</v>
      </c>
      <c r="F151" s="13">
        <v>15.77</v>
      </c>
      <c r="G151" s="13">
        <v>4.72</v>
      </c>
      <c r="H151" s="13">
        <f t="shared" si="10"/>
        <v>20.49</v>
      </c>
      <c r="I151" s="13">
        <f t="shared" si="11"/>
        <v>12.604999999999999</v>
      </c>
      <c r="J151" s="13"/>
      <c r="K151" s="13"/>
      <c r="L151" s="13"/>
      <c r="M151" s="13"/>
      <c r="N151" s="13"/>
      <c r="O151" s="13"/>
      <c r="P151" s="13"/>
      <c r="Q151" s="13"/>
      <c r="R151" s="13"/>
      <c r="S151" s="13"/>
      <c r="T151" s="13"/>
      <c r="U151" s="13"/>
      <c r="V151" s="13"/>
      <c r="W151" s="13"/>
      <c r="X151" s="13"/>
      <c r="Y151" s="13"/>
      <c r="Z151" s="13" t="str">
        <f t="shared" si="12"/>
        <v>low</v>
      </c>
      <c r="AA151" s="13" t="str" cm="1">
        <f t="array" ref="AA151">_xlfn.IFS(H151&gt;30,"high",H151&gt;20,"medium",H151&lt;=20,"low")</f>
        <v>medium</v>
      </c>
      <c r="AB151" s="13" t="b">
        <f t="shared" si="13"/>
        <v>1</v>
      </c>
      <c r="AC151" s="13" t="b">
        <f t="shared" si="14"/>
        <v>1</v>
      </c>
    </row>
    <row r="152" spans="1:29">
      <c r="A152" s="10" t="s">
        <v>115</v>
      </c>
      <c r="B152" s="12">
        <v>46131</v>
      </c>
      <c r="C152" s="10" t="s">
        <v>19</v>
      </c>
      <c r="D152" s="10" t="s">
        <v>226</v>
      </c>
      <c r="E152" s="10" t="s">
        <v>8</v>
      </c>
      <c r="F152" s="13">
        <v>14.72</v>
      </c>
      <c r="G152" s="13">
        <v>2.93</v>
      </c>
      <c r="H152" s="13">
        <f t="shared" si="10"/>
        <v>17.650000000000002</v>
      </c>
      <c r="I152" s="13">
        <f t="shared" si="11"/>
        <v>10.290000000000001</v>
      </c>
      <c r="J152" s="13"/>
      <c r="K152" s="13"/>
      <c r="L152" s="13"/>
      <c r="M152" s="13"/>
      <c r="N152" s="13"/>
      <c r="O152" s="13"/>
      <c r="P152" s="13"/>
      <c r="Q152" s="13"/>
      <c r="R152" s="13"/>
      <c r="S152" s="13"/>
      <c r="T152" s="13"/>
      <c r="U152" s="13"/>
      <c r="V152" s="13"/>
      <c r="W152" s="13"/>
      <c r="X152" s="13"/>
      <c r="Y152" s="13"/>
      <c r="Z152" s="13" t="str">
        <f t="shared" si="12"/>
        <v>low</v>
      </c>
      <c r="AA152" s="13" t="str" cm="1">
        <f t="array" ref="AA152">_xlfn.IFS(H152&gt;30,"high",H152&gt;20,"medium",H152&lt;=20,"low")</f>
        <v>low</v>
      </c>
      <c r="AB152" s="13" t="b">
        <f t="shared" si="13"/>
        <v>1</v>
      </c>
      <c r="AC152" s="13" t="b">
        <f t="shared" si="14"/>
        <v>1</v>
      </c>
    </row>
    <row r="153" spans="1:29">
      <c r="A153" s="10" t="s">
        <v>116</v>
      </c>
      <c r="B153" s="12">
        <v>45986</v>
      </c>
      <c r="C153" s="10" t="s">
        <v>9</v>
      </c>
      <c r="D153" s="10" t="s">
        <v>224</v>
      </c>
      <c r="E153" s="10" t="s">
        <v>12</v>
      </c>
      <c r="F153" s="13">
        <v>44.59</v>
      </c>
      <c r="G153" s="13">
        <v>1.86</v>
      </c>
      <c r="H153" s="13">
        <f t="shared" si="10"/>
        <v>46.45</v>
      </c>
      <c r="I153" s="13">
        <f t="shared" si="11"/>
        <v>24.155000000000001</v>
      </c>
      <c r="J153" s="13"/>
      <c r="K153" s="13"/>
      <c r="L153" s="13"/>
      <c r="M153" s="13"/>
      <c r="N153" s="13"/>
      <c r="O153" s="13"/>
      <c r="P153" s="13"/>
      <c r="Q153" s="13"/>
      <c r="R153" s="13"/>
      <c r="S153" s="13"/>
      <c r="T153" s="13"/>
      <c r="U153" s="13"/>
      <c r="V153" s="13"/>
      <c r="W153" s="13"/>
      <c r="X153" s="13"/>
      <c r="Y153" s="13"/>
      <c r="Z153" s="13" t="str">
        <f t="shared" si="12"/>
        <v>high</v>
      </c>
      <c r="AA153" s="13" t="str" cm="1">
        <f t="array" ref="AA153">_xlfn.IFS(H153&gt;30,"high",H153&gt;20,"medium",H153&lt;=20,"low")</f>
        <v>high</v>
      </c>
      <c r="AB153" s="13" t="b">
        <f t="shared" si="13"/>
        <v>1</v>
      </c>
      <c r="AC153" s="13" t="b">
        <f t="shared" si="14"/>
        <v>1</v>
      </c>
    </row>
    <row r="154" spans="1:29">
      <c r="A154" s="10" t="s">
        <v>117</v>
      </c>
      <c r="B154" s="12">
        <v>45870</v>
      </c>
      <c r="C154" s="10" t="s">
        <v>21</v>
      </c>
      <c r="D154" s="10" t="s">
        <v>226</v>
      </c>
      <c r="E154" s="10" t="s">
        <v>12</v>
      </c>
      <c r="F154" s="13">
        <v>12.92</v>
      </c>
      <c r="G154" s="13">
        <v>3.37</v>
      </c>
      <c r="H154" s="13">
        <f t="shared" si="10"/>
        <v>16.29</v>
      </c>
      <c r="I154" s="13">
        <f t="shared" si="11"/>
        <v>9.83</v>
      </c>
      <c r="J154" s="13"/>
      <c r="K154" s="13"/>
      <c r="L154" s="13"/>
      <c r="M154" s="13"/>
      <c r="N154" s="13"/>
      <c r="O154" s="13"/>
      <c r="P154" s="13"/>
      <c r="Q154" s="13"/>
      <c r="R154" s="13"/>
      <c r="S154" s="13"/>
      <c r="T154" s="13"/>
      <c r="U154" s="13"/>
      <c r="V154" s="13"/>
      <c r="W154" s="13"/>
      <c r="X154" s="13"/>
      <c r="Y154" s="13"/>
      <c r="Z154" s="13" t="str">
        <f t="shared" si="12"/>
        <v>low</v>
      </c>
      <c r="AA154" s="13" t="str" cm="1">
        <f t="array" ref="AA154">_xlfn.IFS(H154&gt;30,"high",H154&gt;20,"medium",H154&lt;=20,"low")</f>
        <v>low</v>
      </c>
      <c r="AB154" s="13" t="b">
        <f t="shared" si="13"/>
        <v>0</v>
      </c>
      <c r="AC154" s="13" t="b">
        <f t="shared" si="14"/>
        <v>1</v>
      </c>
    </row>
    <row r="155" spans="1:29">
      <c r="A155" s="10" t="s">
        <v>118</v>
      </c>
      <c r="B155" s="12">
        <v>45811</v>
      </c>
      <c r="C155" s="10" t="s">
        <v>5</v>
      </c>
      <c r="D155" s="10" t="s">
        <v>224</v>
      </c>
      <c r="E155" s="10" t="s">
        <v>12</v>
      </c>
      <c r="F155" s="13">
        <v>85</v>
      </c>
      <c r="G155" s="13">
        <v>1.66</v>
      </c>
      <c r="H155" s="13">
        <f t="shared" si="10"/>
        <v>86.66</v>
      </c>
      <c r="I155" s="13">
        <f t="shared" si="11"/>
        <v>44.16</v>
      </c>
      <c r="J155" s="13"/>
      <c r="K155" s="13"/>
      <c r="L155" s="13"/>
      <c r="M155" s="13"/>
      <c r="N155" s="13"/>
      <c r="O155" s="13"/>
      <c r="P155" s="13"/>
      <c r="Q155" s="13"/>
      <c r="R155" s="13"/>
      <c r="S155" s="13"/>
      <c r="T155" s="13"/>
      <c r="U155" s="13"/>
      <c r="V155" s="13"/>
      <c r="W155" s="13"/>
      <c r="X155" s="13"/>
      <c r="Y155" s="13"/>
      <c r="Z155" s="13" t="str">
        <f t="shared" si="12"/>
        <v>high</v>
      </c>
      <c r="AA155" s="13" t="str" cm="1">
        <f t="array" ref="AA155">_xlfn.IFS(H155&gt;30,"high",H155&gt;20,"medium",H155&lt;=20,"low")</f>
        <v>high</v>
      </c>
      <c r="AB155" s="13" t="b">
        <f t="shared" si="13"/>
        <v>0</v>
      </c>
      <c r="AC155" s="13" t="b">
        <f t="shared" si="14"/>
        <v>1</v>
      </c>
    </row>
    <row r="156" spans="1:29">
      <c r="A156" s="10" t="s">
        <v>282</v>
      </c>
      <c r="B156" s="12">
        <v>45813</v>
      </c>
      <c r="C156" s="10" t="s">
        <v>21</v>
      </c>
      <c r="D156" s="10" t="s">
        <v>6</v>
      </c>
      <c r="E156" s="10" t="s">
        <v>6</v>
      </c>
      <c r="F156" s="13">
        <v>11.24</v>
      </c>
      <c r="G156" s="13">
        <v>4</v>
      </c>
      <c r="H156" s="13">
        <f t="shared" si="10"/>
        <v>15.24</v>
      </c>
      <c r="I156" s="13">
        <f t="shared" si="11"/>
        <v>9.620000000000001</v>
      </c>
      <c r="J156" s="13"/>
      <c r="K156" s="13"/>
      <c r="L156" s="13"/>
      <c r="M156" s="13"/>
      <c r="N156" s="13"/>
      <c r="O156" s="13"/>
      <c r="P156" s="13"/>
      <c r="Q156" s="13"/>
      <c r="R156" s="13"/>
      <c r="S156" s="13"/>
      <c r="T156" s="13"/>
      <c r="U156" s="13"/>
      <c r="V156" s="13"/>
      <c r="W156" s="13"/>
      <c r="X156" s="13"/>
      <c r="Y156" s="13"/>
      <c r="Z156" s="13" t="str">
        <f t="shared" si="12"/>
        <v>low</v>
      </c>
      <c r="AA156" s="13" t="str" cm="1">
        <f t="array" ref="AA156">_xlfn.IFS(H156&gt;30,"high",H156&gt;20,"medium",H156&lt;=20,"low")</f>
        <v>low</v>
      </c>
      <c r="AB156" s="13" t="b">
        <f t="shared" si="13"/>
        <v>0</v>
      </c>
      <c r="AC156" s="13" t="b">
        <f t="shared" si="14"/>
        <v>1</v>
      </c>
    </row>
    <row r="157" spans="1:29">
      <c r="A157" s="10" t="s">
        <v>283</v>
      </c>
      <c r="B157" s="12">
        <v>45883</v>
      </c>
      <c r="C157" s="10" t="s">
        <v>5</v>
      </c>
      <c r="D157" s="10" t="s">
        <v>226</v>
      </c>
      <c r="E157" s="10" t="s">
        <v>6</v>
      </c>
      <c r="F157" s="13">
        <v>15.8</v>
      </c>
      <c r="G157" s="13">
        <v>4.26</v>
      </c>
      <c r="H157" s="13">
        <f t="shared" si="10"/>
        <v>20.060000000000002</v>
      </c>
      <c r="I157" s="13">
        <f t="shared" si="11"/>
        <v>12.16</v>
      </c>
      <c r="J157" s="13"/>
      <c r="K157" s="13"/>
      <c r="L157" s="13"/>
      <c r="M157" s="13"/>
      <c r="N157" s="13"/>
      <c r="O157" s="13"/>
      <c r="P157" s="13"/>
      <c r="Q157" s="13"/>
      <c r="R157" s="13"/>
      <c r="S157" s="13"/>
      <c r="T157" s="13"/>
      <c r="U157" s="13"/>
      <c r="V157" s="13"/>
      <c r="W157" s="13"/>
      <c r="X157" s="13"/>
      <c r="Y157" s="13"/>
      <c r="Z157" s="13" t="str">
        <f t="shared" si="12"/>
        <v>low</v>
      </c>
      <c r="AA157" s="13" t="str" cm="1">
        <f t="array" ref="AA157">_xlfn.IFS(H157&gt;30,"high",H157&gt;20,"medium",H157&lt;=20,"low")</f>
        <v>medium</v>
      </c>
      <c r="AB157" s="13" t="b">
        <f t="shared" si="13"/>
        <v>1</v>
      </c>
      <c r="AC157" s="13" t="b">
        <f t="shared" si="14"/>
        <v>1</v>
      </c>
    </row>
    <row r="158" spans="1:29">
      <c r="A158" s="10" t="s">
        <v>119</v>
      </c>
      <c r="B158" s="12">
        <v>46115</v>
      </c>
      <c r="C158" s="10" t="s">
        <v>5</v>
      </c>
      <c r="D158" s="10" t="s">
        <v>226</v>
      </c>
      <c r="E158" s="10" t="s">
        <v>8</v>
      </c>
      <c r="F158" s="13">
        <v>4.34</v>
      </c>
      <c r="G158" s="13">
        <v>2.08</v>
      </c>
      <c r="H158" s="13">
        <f t="shared" si="10"/>
        <v>6.42</v>
      </c>
      <c r="I158" s="13">
        <f t="shared" si="11"/>
        <v>4.25</v>
      </c>
      <c r="J158" s="13"/>
      <c r="K158" s="13"/>
      <c r="L158" s="13"/>
      <c r="M158" s="13"/>
      <c r="N158" s="13"/>
      <c r="O158" s="13"/>
      <c r="P158" s="13"/>
      <c r="Q158" s="13"/>
      <c r="R158" s="13"/>
      <c r="S158" s="13"/>
      <c r="T158" s="13"/>
      <c r="U158" s="13"/>
      <c r="V158" s="13"/>
      <c r="W158" s="13"/>
      <c r="X158" s="13"/>
      <c r="Y158" s="13"/>
      <c r="Z158" s="13" t="str">
        <f t="shared" si="12"/>
        <v>low</v>
      </c>
      <c r="AA158" s="13" t="str" cm="1">
        <f t="array" ref="AA158">_xlfn.IFS(H158&gt;30,"high",H158&gt;20,"medium",H158&lt;=20,"low")</f>
        <v>low</v>
      </c>
      <c r="AB158" s="13" t="b">
        <f t="shared" si="13"/>
        <v>0</v>
      </c>
      <c r="AC158" s="13" t="b">
        <f t="shared" si="14"/>
        <v>1</v>
      </c>
    </row>
    <row r="159" spans="1:29">
      <c r="A159" s="10" t="s">
        <v>120</v>
      </c>
      <c r="B159" s="12">
        <v>45961</v>
      </c>
      <c r="C159" s="10" t="s">
        <v>19</v>
      </c>
      <c r="D159" s="10" t="s">
        <v>226</v>
      </c>
      <c r="E159" s="10" t="s">
        <v>8</v>
      </c>
      <c r="F159" s="13">
        <v>28.24</v>
      </c>
      <c r="G159" s="13">
        <v>2.37</v>
      </c>
      <c r="H159" s="13">
        <f t="shared" si="10"/>
        <v>30.61</v>
      </c>
      <c r="I159" s="13">
        <f t="shared" si="11"/>
        <v>16.489999999999998</v>
      </c>
      <c r="J159" s="13"/>
      <c r="K159" s="13"/>
      <c r="L159" s="13"/>
      <c r="M159" s="13"/>
      <c r="N159" s="13"/>
      <c r="O159" s="13"/>
      <c r="P159" s="13"/>
      <c r="Q159" s="13"/>
      <c r="R159" s="13"/>
      <c r="S159" s="13"/>
      <c r="T159" s="13"/>
      <c r="U159" s="13"/>
      <c r="V159" s="13"/>
      <c r="W159" s="13"/>
      <c r="X159" s="13"/>
      <c r="Y159" s="13"/>
      <c r="Z159" s="13" t="str">
        <f t="shared" si="12"/>
        <v>high</v>
      </c>
      <c r="AA159" s="13" t="str" cm="1">
        <f t="array" ref="AA159">_xlfn.IFS(H159&gt;30,"high",H159&gt;20,"medium",H159&lt;=20,"low")</f>
        <v>high</v>
      </c>
      <c r="AB159" s="13" t="b">
        <f t="shared" si="13"/>
        <v>1</v>
      </c>
      <c r="AC159" s="13" t="b">
        <f t="shared" si="14"/>
        <v>1</v>
      </c>
    </row>
    <row r="160" spans="1:29">
      <c r="A160" s="10" t="s">
        <v>284</v>
      </c>
      <c r="B160" s="12">
        <v>45809</v>
      </c>
      <c r="C160" s="10" t="s">
        <v>5</v>
      </c>
      <c r="D160" s="10" t="s">
        <v>224</v>
      </c>
      <c r="E160" s="10" t="s">
        <v>8</v>
      </c>
      <c r="F160" s="13">
        <v>6.68</v>
      </c>
      <c r="G160" s="13">
        <v>2.35</v>
      </c>
      <c r="H160" s="13">
        <f t="shared" si="10"/>
        <v>9.0299999999999994</v>
      </c>
      <c r="I160" s="13">
        <f t="shared" si="11"/>
        <v>5.6899999999999995</v>
      </c>
      <c r="J160" s="13"/>
      <c r="K160" s="13"/>
      <c r="L160" s="13"/>
      <c r="M160" s="13"/>
      <c r="N160" s="13"/>
      <c r="O160" s="13"/>
      <c r="P160" s="13"/>
      <c r="Q160" s="13"/>
      <c r="R160" s="13"/>
      <c r="S160" s="13"/>
      <c r="T160" s="13"/>
      <c r="U160" s="13"/>
      <c r="V160" s="13"/>
      <c r="W160" s="13"/>
      <c r="X160" s="13"/>
      <c r="Y160" s="13"/>
      <c r="Z160" s="13" t="str">
        <f t="shared" si="12"/>
        <v>low</v>
      </c>
      <c r="AA160" s="13" t="str" cm="1">
        <f t="array" ref="AA160">_xlfn.IFS(H160&gt;30,"high",H160&gt;20,"medium",H160&lt;=20,"low")</f>
        <v>low</v>
      </c>
      <c r="AB160" s="13" t="b">
        <f t="shared" si="13"/>
        <v>0</v>
      </c>
      <c r="AC160" s="13" t="b">
        <f t="shared" si="14"/>
        <v>1</v>
      </c>
    </row>
    <row r="161" spans="1:29">
      <c r="A161" s="10" t="s">
        <v>121</v>
      </c>
      <c r="B161" s="12">
        <v>45724</v>
      </c>
      <c r="C161" s="10" t="s">
        <v>14</v>
      </c>
      <c r="D161" s="10" t="s">
        <v>224</v>
      </c>
      <c r="E161" s="10" t="s">
        <v>15</v>
      </c>
      <c r="F161" s="13">
        <v>35.83</v>
      </c>
      <c r="G161" s="13">
        <v>1.31</v>
      </c>
      <c r="H161" s="13">
        <f t="shared" si="10"/>
        <v>37.14</v>
      </c>
      <c r="I161" s="13">
        <f t="shared" si="11"/>
        <v>19.225000000000001</v>
      </c>
      <c r="J161" s="13"/>
      <c r="K161" s="13"/>
      <c r="L161" s="13"/>
      <c r="M161" s="13"/>
      <c r="N161" s="13"/>
      <c r="O161" s="13"/>
      <c r="P161" s="13"/>
      <c r="Q161" s="13"/>
      <c r="R161" s="13"/>
      <c r="S161" s="13"/>
      <c r="T161" s="13"/>
      <c r="U161" s="13"/>
      <c r="V161" s="13"/>
      <c r="W161" s="13"/>
      <c r="X161" s="13"/>
      <c r="Y161" s="13"/>
      <c r="Z161" s="13" t="str">
        <f t="shared" si="12"/>
        <v>high</v>
      </c>
      <c r="AA161" s="13" t="str" cm="1">
        <f t="array" ref="AA161">_xlfn.IFS(H161&gt;30,"high",H161&gt;20,"medium",H161&lt;=20,"low")</f>
        <v>high</v>
      </c>
      <c r="AB161" s="13" t="b">
        <f t="shared" si="13"/>
        <v>1</v>
      </c>
      <c r="AC161" s="13" t="b">
        <f t="shared" si="14"/>
        <v>1</v>
      </c>
    </row>
    <row r="162" spans="1:29">
      <c r="A162" s="10" t="s">
        <v>122</v>
      </c>
      <c r="B162" s="12">
        <v>45965</v>
      </c>
      <c r="C162" s="10" t="s">
        <v>9</v>
      </c>
      <c r="D162" s="10" t="s">
        <v>226</v>
      </c>
      <c r="E162" s="10" t="s">
        <v>15</v>
      </c>
      <c r="F162" s="13">
        <v>39.229999999999997</v>
      </c>
      <c r="G162" s="13">
        <v>1.57</v>
      </c>
      <c r="H162" s="13">
        <f t="shared" si="10"/>
        <v>40.799999999999997</v>
      </c>
      <c r="I162" s="13">
        <f t="shared" si="11"/>
        <v>21.184999999999999</v>
      </c>
      <c r="J162" s="13"/>
      <c r="K162" s="13"/>
      <c r="L162" s="13"/>
      <c r="M162" s="13"/>
      <c r="N162" s="13"/>
      <c r="O162" s="13"/>
      <c r="P162" s="13"/>
      <c r="Q162" s="13"/>
      <c r="R162" s="13"/>
      <c r="S162" s="13"/>
      <c r="T162" s="13"/>
      <c r="U162" s="13"/>
      <c r="V162" s="13"/>
      <c r="W162" s="13"/>
      <c r="X162" s="13"/>
      <c r="Y162" s="13"/>
      <c r="Z162" s="13" t="str">
        <f t="shared" si="12"/>
        <v>high</v>
      </c>
      <c r="AA162" s="13" t="str" cm="1">
        <f t="array" ref="AA162">_xlfn.IFS(H162&gt;30,"high",H162&gt;20,"medium",H162&lt;=20,"low")</f>
        <v>high</v>
      </c>
      <c r="AB162" s="13" t="b">
        <f t="shared" si="13"/>
        <v>1</v>
      </c>
      <c r="AC162" s="13" t="b">
        <f t="shared" si="14"/>
        <v>1</v>
      </c>
    </row>
    <row r="163" spans="1:29">
      <c r="A163" s="10" t="s">
        <v>123</v>
      </c>
      <c r="B163" s="12">
        <v>45949</v>
      </c>
      <c r="C163" s="10" t="s">
        <v>21</v>
      </c>
      <c r="D163" s="10" t="s">
        <v>226</v>
      </c>
      <c r="E163" s="10" t="s">
        <v>12</v>
      </c>
      <c r="F163" s="13">
        <v>4.8</v>
      </c>
      <c r="G163" s="13">
        <v>3.38</v>
      </c>
      <c r="H163" s="13">
        <f t="shared" si="10"/>
        <v>8.18</v>
      </c>
      <c r="I163" s="13">
        <f t="shared" si="11"/>
        <v>5.7799999999999994</v>
      </c>
      <c r="J163" s="13"/>
      <c r="K163" s="13"/>
      <c r="L163" s="13"/>
      <c r="M163" s="13"/>
      <c r="N163" s="13"/>
      <c r="O163" s="13"/>
      <c r="P163" s="13"/>
      <c r="Q163" s="13"/>
      <c r="R163" s="13"/>
      <c r="S163" s="13"/>
      <c r="T163" s="13"/>
      <c r="U163" s="13"/>
      <c r="V163" s="13"/>
      <c r="W163" s="13"/>
      <c r="X163" s="13"/>
      <c r="Y163" s="13"/>
      <c r="Z163" s="13" t="str">
        <f t="shared" si="12"/>
        <v>low</v>
      </c>
      <c r="AA163" s="13" t="str" cm="1">
        <f t="array" ref="AA163">_xlfn.IFS(H163&gt;30,"high",H163&gt;20,"medium",H163&lt;=20,"low")</f>
        <v>low</v>
      </c>
      <c r="AB163" s="13" t="b">
        <f t="shared" si="13"/>
        <v>0</v>
      </c>
      <c r="AC163" s="13" t="b">
        <f t="shared" si="14"/>
        <v>1</v>
      </c>
    </row>
    <row r="164" spans="1:29">
      <c r="A164" s="10" t="s">
        <v>285</v>
      </c>
      <c r="B164" s="12">
        <v>45860</v>
      </c>
      <c r="C164" s="10" t="s">
        <v>14</v>
      </c>
      <c r="D164" s="10" t="s">
        <v>224</v>
      </c>
      <c r="E164" s="10" t="s">
        <v>12</v>
      </c>
      <c r="F164" s="13">
        <v>39.43</v>
      </c>
      <c r="G164" s="13">
        <v>3.21</v>
      </c>
      <c r="H164" s="13">
        <f t="shared" si="10"/>
        <v>42.64</v>
      </c>
      <c r="I164" s="13">
        <f t="shared" si="11"/>
        <v>22.925000000000001</v>
      </c>
      <c r="J164" s="13"/>
      <c r="K164" s="13"/>
      <c r="L164" s="13"/>
      <c r="M164" s="13"/>
      <c r="N164" s="13"/>
      <c r="O164" s="13"/>
      <c r="P164" s="13"/>
      <c r="Q164" s="13"/>
      <c r="R164" s="13"/>
      <c r="S164" s="13"/>
      <c r="T164" s="13"/>
      <c r="U164" s="13"/>
      <c r="V164" s="13"/>
      <c r="W164" s="13"/>
      <c r="X164" s="13"/>
      <c r="Y164" s="13"/>
      <c r="Z164" s="13" t="str">
        <f t="shared" si="12"/>
        <v>high</v>
      </c>
      <c r="AA164" s="13" t="str" cm="1">
        <f t="array" ref="AA164">_xlfn.IFS(H164&gt;30,"high",H164&gt;20,"medium",H164&lt;=20,"low")</f>
        <v>high</v>
      </c>
      <c r="AB164" s="13" t="b">
        <f t="shared" si="13"/>
        <v>1</v>
      </c>
      <c r="AC164" s="13" t="b">
        <f t="shared" si="14"/>
        <v>1</v>
      </c>
    </row>
    <row r="165" spans="1:29">
      <c r="A165" s="10" t="s">
        <v>124</v>
      </c>
      <c r="B165" s="12">
        <v>45921</v>
      </c>
      <c r="C165" s="10" t="s">
        <v>14</v>
      </c>
      <c r="D165" s="10" t="s">
        <v>6</v>
      </c>
      <c r="E165" s="10" t="s">
        <v>12</v>
      </c>
      <c r="F165" s="13">
        <v>29.62</v>
      </c>
      <c r="G165" s="13">
        <v>9.0500000000000007</v>
      </c>
      <c r="H165" s="13">
        <f t="shared" si="10"/>
        <v>38.67</v>
      </c>
      <c r="I165" s="13">
        <f t="shared" si="11"/>
        <v>23.86</v>
      </c>
      <c r="J165" s="13"/>
      <c r="K165" s="13"/>
      <c r="L165" s="13"/>
      <c r="M165" s="13"/>
      <c r="N165" s="13"/>
      <c r="O165" s="13"/>
      <c r="P165" s="13"/>
      <c r="Q165" s="13"/>
      <c r="R165" s="13"/>
      <c r="S165" s="13"/>
      <c r="T165" s="13"/>
      <c r="U165" s="13"/>
      <c r="V165" s="13"/>
      <c r="W165" s="13"/>
      <c r="X165" s="13"/>
      <c r="Y165" s="13"/>
      <c r="Z165" s="13" t="str">
        <f t="shared" si="12"/>
        <v>high</v>
      </c>
      <c r="AA165" s="13" t="str" cm="1">
        <f t="array" ref="AA165">_xlfn.IFS(H165&gt;30,"high",H165&gt;20,"medium",H165&lt;=20,"low")</f>
        <v>high</v>
      </c>
      <c r="AB165" s="13" t="b">
        <f t="shared" si="13"/>
        <v>1</v>
      </c>
      <c r="AC165" s="13" t="b">
        <f t="shared" si="14"/>
        <v>1</v>
      </c>
    </row>
    <row r="166" spans="1:29">
      <c r="A166" s="10" t="s">
        <v>286</v>
      </c>
      <c r="B166" s="12">
        <v>45899</v>
      </c>
      <c r="C166" s="10" t="s">
        <v>5</v>
      </c>
      <c r="D166" s="10" t="s">
        <v>226</v>
      </c>
      <c r="E166" s="10" t="s">
        <v>12</v>
      </c>
      <c r="F166" s="13">
        <v>23.95</v>
      </c>
      <c r="G166" s="13">
        <v>1.05</v>
      </c>
      <c r="H166" s="13">
        <f t="shared" si="10"/>
        <v>25</v>
      </c>
      <c r="I166" s="13">
        <f t="shared" si="11"/>
        <v>13.025</v>
      </c>
      <c r="J166" s="13"/>
      <c r="K166" s="13"/>
      <c r="L166" s="13"/>
      <c r="M166" s="13"/>
      <c r="N166" s="13"/>
      <c r="O166" s="13"/>
      <c r="P166" s="13"/>
      <c r="Q166" s="13"/>
      <c r="R166" s="13"/>
      <c r="S166" s="13"/>
      <c r="T166" s="13"/>
      <c r="U166" s="13"/>
      <c r="V166" s="13"/>
      <c r="W166" s="13"/>
      <c r="X166" s="13"/>
      <c r="Y166" s="13"/>
      <c r="Z166" s="13" t="str">
        <f t="shared" si="12"/>
        <v>low</v>
      </c>
      <c r="AA166" s="13" t="str" cm="1">
        <f t="array" ref="AA166">_xlfn.IFS(H166&gt;30,"high",H166&gt;20,"medium",H166&lt;=20,"low")</f>
        <v>medium</v>
      </c>
      <c r="AB166" s="13" t="b">
        <f t="shared" si="13"/>
        <v>1</v>
      </c>
      <c r="AC166" s="13" t="b">
        <f t="shared" si="14"/>
        <v>1</v>
      </c>
    </row>
    <row r="167" spans="1:29">
      <c r="A167" s="10" t="s">
        <v>287</v>
      </c>
      <c r="B167" s="12">
        <v>45678</v>
      </c>
      <c r="C167" s="10" t="s">
        <v>9</v>
      </c>
      <c r="D167" s="10" t="s">
        <v>226</v>
      </c>
      <c r="E167" s="10" t="s">
        <v>12</v>
      </c>
      <c r="F167" s="13">
        <v>42.4</v>
      </c>
      <c r="G167" s="13">
        <v>7.54</v>
      </c>
      <c r="H167" s="13">
        <f t="shared" si="10"/>
        <v>49.94</v>
      </c>
      <c r="I167" s="13">
        <f t="shared" si="11"/>
        <v>28.74</v>
      </c>
      <c r="J167" s="13"/>
      <c r="K167" s="13"/>
      <c r="L167" s="13"/>
      <c r="M167" s="13"/>
      <c r="N167" s="13"/>
      <c r="O167" s="13"/>
      <c r="P167" s="13"/>
      <c r="Q167" s="13"/>
      <c r="R167" s="13"/>
      <c r="S167" s="13"/>
      <c r="T167" s="13"/>
      <c r="U167" s="13"/>
      <c r="V167" s="13"/>
      <c r="W167" s="13"/>
      <c r="X167" s="13"/>
      <c r="Y167" s="13"/>
      <c r="Z167" s="13" t="str">
        <f t="shared" si="12"/>
        <v>high</v>
      </c>
      <c r="AA167" s="13" t="str" cm="1">
        <f t="array" ref="AA167">_xlfn.IFS(H167&gt;30,"high",H167&gt;20,"medium",H167&lt;=20,"low")</f>
        <v>high</v>
      </c>
      <c r="AB167" s="13" t="b">
        <f t="shared" si="13"/>
        <v>1</v>
      </c>
      <c r="AC167" s="13" t="b">
        <f t="shared" si="14"/>
        <v>1</v>
      </c>
    </row>
    <row r="168" spans="1:29">
      <c r="A168" s="10" t="s">
        <v>125</v>
      </c>
      <c r="B168" s="12">
        <v>46071</v>
      </c>
      <c r="C168" s="10" t="s">
        <v>7</v>
      </c>
      <c r="D168" s="10" t="s">
        <v>224</v>
      </c>
      <c r="E168" s="10" t="s">
        <v>12</v>
      </c>
      <c r="F168" s="13">
        <v>41.75</v>
      </c>
      <c r="G168" s="13">
        <v>4.7699999999999996</v>
      </c>
      <c r="H168" s="13">
        <f t="shared" si="10"/>
        <v>46.519999999999996</v>
      </c>
      <c r="I168" s="13">
        <f t="shared" si="11"/>
        <v>25.644999999999996</v>
      </c>
      <c r="J168" s="13"/>
      <c r="K168" s="13"/>
      <c r="L168" s="13"/>
      <c r="M168" s="13"/>
      <c r="N168" s="13"/>
      <c r="O168" s="13"/>
      <c r="P168" s="13"/>
      <c r="Q168" s="13"/>
      <c r="R168" s="13"/>
      <c r="S168" s="13"/>
      <c r="T168" s="13"/>
      <c r="U168" s="13"/>
      <c r="V168" s="13"/>
      <c r="W168" s="13"/>
      <c r="X168" s="13"/>
      <c r="Y168" s="13"/>
      <c r="Z168" s="13" t="str">
        <f t="shared" si="12"/>
        <v>high</v>
      </c>
      <c r="AA168" s="13" t="str" cm="1">
        <f t="array" ref="AA168">_xlfn.IFS(H168&gt;30,"high",H168&gt;20,"medium",H168&lt;=20,"low")</f>
        <v>high</v>
      </c>
      <c r="AB168" s="13" t="b">
        <f t="shared" si="13"/>
        <v>1</v>
      </c>
      <c r="AC168" s="13" t="b">
        <f t="shared" si="14"/>
        <v>1</v>
      </c>
    </row>
    <row r="169" spans="1:29">
      <c r="A169" s="10" t="s">
        <v>126</v>
      </c>
      <c r="B169" s="12">
        <v>46017</v>
      </c>
      <c r="C169" s="10" t="s">
        <v>5</v>
      </c>
      <c r="D169" s="10" t="s">
        <v>224</v>
      </c>
      <c r="E169" s="10" t="s">
        <v>12</v>
      </c>
      <c r="F169" s="13">
        <v>28.53</v>
      </c>
      <c r="G169" s="13">
        <v>7.58</v>
      </c>
      <c r="H169" s="13">
        <f t="shared" si="10"/>
        <v>36.11</v>
      </c>
      <c r="I169" s="13">
        <f t="shared" si="11"/>
        <v>21.844999999999999</v>
      </c>
      <c r="J169" s="13"/>
      <c r="K169" s="13"/>
      <c r="L169" s="13"/>
      <c r="M169" s="13"/>
      <c r="N169" s="13"/>
      <c r="O169" s="13"/>
      <c r="P169" s="13"/>
      <c r="Q169" s="13"/>
      <c r="R169" s="13"/>
      <c r="S169" s="13"/>
      <c r="T169" s="13"/>
      <c r="U169" s="13"/>
      <c r="V169" s="13"/>
      <c r="W169" s="13"/>
      <c r="X169" s="13"/>
      <c r="Y169" s="13"/>
      <c r="Z169" s="13" t="str">
        <f t="shared" si="12"/>
        <v>high</v>
      </c>
      <c r="AA169" s="13" t="str" cm="1">
        <f t="array" ref="AA169">_xlfn.IFS(H169&gt;30,"high",H169&gt;20,"medium",H169&lt;=20,"low")</f>
        <v>high</v>
      </c>
      <c r="AB169" s="13" t="b">
        <f t="shared" si="13"/>
        <v>1</v>
      </c>
      <c r="AC169" s="13" t="b">
        <f t="shared" si="14"/>
        <v>1</v>
      </c>
    </row>
    <row r="170" spans="1:29">
      <c r="A170" s="10" t="s">
        <v>288</v>
      </c>
      <c r="B170" s="12">
        <v>46177</v>
      </c>
      <c r="C170" s="10" t="s">
        <v>5</v>
      </c>
      <c r="D170" s="10" t="s">
        <v>226</v>
      </c>
      <c r="E170" s="10" t="s">
        <v>6</v>
      </c>
      <c r="F170" s="13">
        <v>21.19</v>
      </c>
      <c r="G170" s="13">
        <v>5.32</v>
      </c>
      <c r="H170" s="13">
        <f t="shared" si="10"/>
        <v>26.51</v>
      </c>
      <c r="I170" s="13">
        <f t="shared" si="11"/>
        <v>15.915000000000001</v>
      </c>
      <c r="J170" s="13"/>
      <c r="K170" s="13"/>
      <c r="L170" s="13"/>
      <c r="M170" s="13"/>
      <c r="N170" s="13"/>
      <c r="O170" s="13"/>
      <c r="P170" s="13"/>
      <c r="Q170" s="13"/>
      <c r="R170" s="13"/>
      <c r="S170" s="13"/>
      <c r="T170" s="13"/>
      <c r="U170" s="13"/>
      <c r="V170" s="13"/>
      <c r="W170" s="13"/>
      <c r="X170" s="13"/>
      <c r="Y170" s="13"/>
      <c r="Z170" s="13" t="str">
        <f t="shared" si="12"/>
        <v>low</v>
      </c>
      <c r="AA170" s="13" t="str" cm="1">
        <f t="array" ref="AA170">_xlfn.IFS(H170&gt;30,"high",H170&gt;20,"medium",H170&lt;=20,"low")</f>
        <v>medium</v>
      </c>
      <c r="AB170" s="13" t="b">
        <f t="shared" si="13"/>
        <v>1</v>
      </c>
      <c r="AC170" s="13" t="b">
        <f t="shared" si="14"/>
        <v>1</v>
      </c>
    </row>
    <row r="171" spans="1:29">
      <c r="A171" s="10" t="s">
        <v>127</v>
      </c>
      <c r="B171" s="12">
        <v>46087</v>
      </c>
      <c r="C171" s="10" t="s">
        <v>14</v>
      </c>
      <c r="D171" s="10" t="s">
        <v>226</v>
      </c>
      <c r="E171" s="10" t="s">
        <v>15</v>
      </c>
      <c r="F171" s="13">
        <v>36.450000000000003</v>
      </c>
      <c r="G171" s="13">
        <v>3.09</v>
      </c>
      <c r="H171" s="13">
        <f t="shared" si="10"/>
        <v>39.540000000000006</v>
      </c>
      <c r="I171" s="13">
        <f t="shared" si="11"/>
        <v>21.315000000000005</v>
      </c>
      <c r="J171" s="13"/>
      <c r="K171" s="13"/>
      <c r="L171" s="13"/>
      <c r="M171" s="13"/>
      <c r="N171" s="13"/>
      <c r="O171" s="13"/>
      <c r="P171" s="13"/>
      <c r="Q171" s="13"/>
      <c r="R171" s="13"/>
      <c r="S171" s="13"/>
      <c r="T171" s="13"/>
      <c r="U171" s="13"/>
      <c r="V171" s="13"/>
      <c r="W171" s="13"/>
      <c r="X171" s="13"/>
      <c r="Y171" s="13"/>
      <c r="Z171" s="13" t="str">
        <f t="shared" si="12"/>
        <v>high</v>
      </c>
      <c r="AA171" s="13" t="str" cm="1">
        <f t="array" ref="AA171">_xlfn.IFS(H171&gt;30,"high",H171&gt;20,"medium",H171&lt;=20,"low")</f>
        <v>high</v>
      </c>
      <c r="AB171" s="13" t="b">
        <f t="shared" si="13"/>
        <v>1</v>
      </c>
      <c r="AC171" s="13" t="b">
        <f t="shared" si="14"/>
        <v>1</v>
      </c>
    </row>
    <row r="172" spans="1:29">
      <c r="A172" s="10" t="s">
        <v>128</v>
      </c>
      <c r="B172" s="12">
        <v>46015</v>
      </c>
      <c r="C172" s="10" t="s">
        <v>9</v>
      </c>
      <c r="D172" s="10" t="s">
        <v>226</v>
      </c>
      <c r="E172" s="10" t="s">
        <v>8</v>
      </c>
      <c r="F172" s="13">
        <v>3.95</v>
      </c>
      <c r="G172" s="13">
        <v>4.63</v>
      </c>
      <c r="H172" s="13">
        <f t="shared" si="10"/>
        <v>8.58</v>
      </c>
      <c r="I172" s="13">
        <f t="shared" si="11"/>
        <v>6.6050000000000004</v>
      </c>
      <c r="J172" s="13"/>
      <c r="K172" s="13"/>
      <c r="L172" s="13"/>
      <c r="M172" s="13"/>
      <c r="N172" s="13"/>
      <c r="O172" s="13"/>
      <c r="P172" s="13"/>
      <c r="Q172" s="13"/>
      <c r="R172" s="13"/>
      <c r="S172" s="13"/>
      <c r="T172" s="13"/>
      <c r="U172" s="13"/>
      <c r="V172" s="13"/>
      <c r="W172" s="13"/>
      <c r="X172" s="13"/>
      <c r="Y172" s="13"/>
      <c r="Z172" s="13" t="str">
        <f t="shared" si="12"/>
        <v>low</v>
      </c>
      <c r="AA172" s="13" t="str" cm="1">
        <f t="array" ref="AA172">_xlfn.IFS(H172&gt;30,"high",H172&gt;20,"medium",H172&lt;=20,"low")</f>
        <v>low</v>
      </c>
      <c r="AB172" s="13" t="b">
        <f t="shared" si="13"/>
        <v>0</v>
      </c>
      <c r="AC172" s="13" t="b">
        <f t="shared" si="14"/>
        <v>1</v>
      </c>
    </row>
    <row r="173" spans="1:29">
      <c r="A173" s="10" t="s">
        <v>129</v>
      </c>
      <c r="B173" s="12">
        <v>46143</v>
      </c>
      <c r="C173" s="10" t="s">
        <v>5</v>
      </c>
      <c r="D173" s="10" t="s">
        <v>226</v>
      </c>
      <c r="E173" s="10" t="s">
        <v>12</v>
      </c>
      <c r="F173" s="13">
        <v>38.68</v>
      </c>
      <c r="G173" s="13">
        <v>3.4</v>
      </c>
      <c r="H173" s="13">
        <f t="shared" si="10"/>
        <v>42.08</v>
      </c>
      <c r="I173" s="13">
        <f t="shared" si="11"/>
        <v>22.74</v>
      </c>
      <c r="J173" s="13"/>
      <c r="K173" s="13"/>
      <c r="L173" s="13"/>
      <c r="M173" s="13"/>
      <c r="N173" s="13"/>
      <c r="O173" s="13"/>
      <c r="P173" s="13"/>
      <c r="Q173" s="13"/>
      <c r="R173" s="13"/>
      <c r="S173" s="13"/>
      <c r="T173" s="13"/>
      <c r="U173" s="13"/>
      <c r="V173" s="13"/>
      <c r="W173" s="13"/>
      <c r="X173" s="13"/>
      <c r="Y173" s="13"/>
      <c r="Z173" s="13" t="str">
        <f t="shared" si="12"/>
        <v>high</v>
      </c>
      <c r="AA173" s="13" t="str" cm="1">
        <f t="array" ref="AA173">_xlfn.IFS(H173&gt;30,"high",H173&gt;20,"medium",H173&lt;=20,"low")</f>
        <v>high</v>
      </c>
      <c r="AB173" s="13" t="b">
        <f t="shared" si="13"/>
        <v>1</v>
      </c>
      <c r="AC173" s="13" t="b">
        <f t="shared" si="14"/>
        <v>1</v>
      </c>
    </row>
    <row r="174" spans="1:29">
      <c r="A174" s="10" t="s">
        <v>130</v>
      </c>
      <c r="B174" s="12">
        <v>45680</v>
      </c>
      <c r="C174" s="10" t="s">
        <v>5</v>
      </c>
      <c r="D174" s="10" t="s">
        <v>6</v>
      </c>
      <c r="E174" s="10" t="s">
        <v>8</v>
      </c>
      <c r="F174" s="13">
        <v>43.21</v>
      </c>
      <c r="G174" s="13">
        <v>7.03</v>
      </c>
      <c r="H174" s="13">
        <f t="shared" si="10"/>
        <v>50.24</v>
      </c>
      <c r="I174" s="13">
        <f t="shared" si="11"/>
        <v>28.635000000000002</v>
      </c>
      <c r="J174" s="13"/>
      <c r="K174" s="13"/>
      <c r="L174" s="13"/>
      <c r="M174" s="13"/>
      <c r="N174" s="13"/>
      <c r="O174" s="13"/>
      <c r="P174" s="13"/>
      <c r="Q174" s="13"/>
      <c r="R174" s="13"/>
      <c r="S174" s="13"/>
      <c r="T174" s="13"/>
      <c r="U174" s="13"/>
      <c r="V174" s="13"/>
      <c r="W174" s="13"/>
      <c r="X174" s="13"/>
      <c r="Y174" s="13"/>
      <c r="Z174" s="13" t="str">
        <f t="shared" si="12"/>
        <v>high</v>
      </c>
      <c r="AA174" s="13" t="str" cm="1">
        <f t="array" ref="AA174">_xlfn.IFS(H174&gt;30,"high",H174&gt;20,"medium",H174&lt;=20,"low")</f>
        <v>high</v>
      </c>
      <c r="AB174" s="13" t="b">
        <f t="shared" si="13"/>
        <v>1</v>
      </c>
      <c r="AC174" s="13" t="b">
        <f t="shared" si="14"/>
        <v>1</v>
      </c>
    </row>
    <row r="175" spans="1:29">
      <c r="A175" s="10" t="s">
        <v>131</v>
      </c>
      <c r="B175" s="12">
        <v>45737</v>
      </c>
      <c r="C175" s="10" t="s">
        <v>7</v>
      </c>
      <c r="D175" s="10" t="s">
        <v>224</v>
      </c>
      <c r="E175" s="10" t="s">
        <v>15</v>
      </c>
      <c r="F175" s="13">
        <v>14.81</v>
      </c>
      <c r="G175" s="13">
        <v>7.61</v>
      </c>
      <c r="H175" s="13">
        <f t="shared" si="10"/>
        <v>22.42</v>
      </c>
      <c r="I175" s="13">
        <f t="shared" si="11"/>
        <v>15.015000000000001</v>
      </c>
      <c r="J175" s="13"/>
      <c r="K175" s="13"/>
      <c r="L175" s="13"/>
      <c r="M175" s="13"/>
      <c r="N175" s="13"/>
      <c r="O175" s="13"/>
      <c r="P175" s="13"/>
      <c r="Q175" s="13"/>
      <c r="R175" s="13"/>
      <c r="S175" s="13"/>
      <c r="T175" s="13"/>
      <c r="U175" s="13"/>
      <c r="V175" s="13"/>
      <c r="W175" s="13"/>
      <c r="X175" s="13"/>
      <c r="Y175" s="13"/>
      <c r="Z175" s="13" t="str">
        <f t="shared" si="12"/>
        <v>low</v>
      </c>
      <c r="AA175" s="13" t="str" cm="1">
        <f t="array" ref="AA175">_xlfn.IFS(H175&gt;30,"high",H175&gt;20,"medium",H175&lt;=20,"low")</f>
        <v>medium</v>
      </c>
      <c r="AB175" s="13" t="b">
        <f t="shared" si="13"/>
        <v>1</v>
      </c>
      <c r="AC175" s="13" t="b">
        <f t="shared" si="14"/>
        <v>1</v>
      </c>
    </row>
    <row r="176" spans="1:29">
      <c r="A176" s="10" t="s">
        <v>132</v>
      </c>
      <c r="B176" s="12">
        <v>46004</v>
      </c>
      <c r="C176" s="10" t="s">
        <v>21</v>
      </c>
      <c r="D176" s="10" t="s">
        <v>224</v>
      </c>
      <c r="E176" s="10" t="s">
        <v>12</v>
      </c>
      <c r="F176" s="13">
        <v>16.079999999999998</v>
      </c>
      <c r="G176" s="13">
        <v>11.58</v>
      </c>
      <c r="H176" s="13">
        <f t="shared" si="10"/>
        <v>27.659999999999997</v>
      </c>
      <c r="I176" s="13">
        <f t="shared" si="11"/>
        <v>19.619999999999997</v>
      </c>
      <c r="J176" s="13"/>
      <c r="K176" s="13"/>
      <c r="L176" s="13"/>
      <c r="M176" s="13"/>
      <c r="N176" s="13"/>
      <c r="O176" s="13"/>
      <c r="P176" s="13"/>
      <c r="Q176" s="13"/>
      <c r="R176" s="13"/>
      <c r="S176" s="13"/>
      <c r="T176" s="13"/>
      <c r="U176" s="13"/>
      <c r="V176" s="13"/>
      <c r="W176" s="13"/>
      <c r="X176" s="13"/>
      <c r="Y176" s="13"/>
      <c r="Z176" s="13" t="str">
        <f t="shared" si="12"/>
        <v>low</v>
      </c>
      <c r="AA176" s="13" t="str" cm="1">
        <f t="array" ref="AA176">_xlfn.IFS(H176&gt;30,"high",H176&gt;20,"medium",H176&lt;=20,"low")</f>
        <v>medium</v>
      </c>
      <c r="AB176" s="13" t="b">
        <f t="shared" si="13"/>
        <v>1</v>
      </c>
      <c r="AC176" s="13" t="b">
        <f t="shared" si="14"/>
        <v>1</v>
      </c>
    </row>
    <row r="177" spans="1:29">
      <c r="A177" s="10" t="s">
        <v>133</v>
      </c>
      <c r="B177" s="12">
        <v>46063</v>
      </c>
      <c r="C177" s="10" t="s">
        <v>9</v>
      </c>
      <c r="D177" s="10" t="s">
        <v>226</v>
      </c>
      <c r="E177" s="10" t="s">
        <v>8</v>
      </c>
      <c r="F177" s="13">
        <v>4.6500000000000004</v>
      </c>
      <c r="G177" s="13">
        <v>3.18</v>
      </c>
      <c r="H177" s="13">
        <f t="shared" si="10"/>
        <v>7.83</v>
      </c>
      <c r="I177" s="13">
        <f t="shared" si="11"/>
        <v>5.5049999999999999</v>
      </c>
      <c r="J177" s="13"/>
      <c r="K177" s="13"/>
      <c r="L177" s="13"/>
      <c r="M177" s="13"/>
      <c r="N177" s="13"/>
      <c r="O177" s="13"/>
      <c r="P177" s="13"/>
      <c r="Q177" s="13"/>
      <c r="R177" s="13"/>
      <c r="S177" s="13"/>
      <c r="T177" s="13"/>
      <c r="U177" s="13"/>
      <c r="V177" s="13"/>
      <c r="W177" s="13"/>
      <c r="X177" s="13"/>
      <c r="Y177" s="13"/>
      <c r="Z177" s="13" t="str">
        <f t="shared" si="12"/>
        <v>low</v>
      </c>
      <c r="AA177" s="13" t="str" cm="1">
        <f t="array" ref="AA177">_xlfn.IFS(H177&gt;30,"high",H177&gt;20,"medium",H177&lt;=20,"low")</f>
        <v>low</v>
      </c>
      <c r="AB177" s="13" t="b">
        <f t="shared" si="13"/>
        <v>0</v>
      </c>
      <c r="AC177" s="13" t="b">
        <f t="shared" si="14"/>
        <v>1</v>
      </c>
    </row>
    <row r="178" spans="1:29">
      <c r="A178" s="10" t="s">
        <v>134</v>
      </c>
      <c r="B178" s="12">
        <v>45967</v>
      </c>
      <c r="C178" s="10" t="s">
        <v>19</v>
      </c>
      <c r="D178" s="10" t="s">
        <v>224</v>
      </c>
      <c r="E178" s="10" t="s">
        <v>8</v>
      </c>
      <c r="F178" s="13">
        <v>68.77</v>
      </c>
      <c r="G178" s="13">
        <v>8.42</v>
      </c>
      <c r="H178" s="13">
        <f t="shared" si="10"/>
        <v>77.19</v>
      </c>
      <c r="I178" s="13">
        <f t="shared" si="11"/>
        <v>42.805</v>
      </c>
      <c r="J178" s="13"/>
      <c r="K178" s="13"/>
      <c r="L178" s="13"/>
      <c r="M178" s="13"/>
      <c r="N178" s="13"/>
      <c r="O178" s="13"/>
      <c r="P178" s="13"/>
      <c r="Q178" s="13"/>
      <c r="R178" s="13"/>
      <c r="S178" s="13"/>
      <c r="T178" s="13"/>
      <c r="U178" s="13"/>
      <c r="V178" s="13"/>
      <c r="W178" s="13"/>
      <c r="X178" s="13"/>
      <c r="Y178" s="13"/>
      <c r="Z178" s="13" t="str">
        <f t="shared" si="12"/>
        <v>high</v>
      </c>
      <c r="AA178" s="13" t="str" cm="1">
        <f t="array" ref="AA178">_xlfn.IFS(H178&gt;30,"high",H178&gt;20,"medium",H178&lt;=20,"low")</f>
        <v>high</v>
      </c>
      <c r="AB178" s="13" t="b">
        <f t="shared" si="13"/>
        <v>0</v>
      </c>
      <c r="AC178" s="13" t="b">
        <f t="shared" si="14"/>
        <v>1</v>
      </c>
    </row>
    <row r="179" spans="1:29">
      <c r="A179" s="10" t="s">
        <v>135</v>
      </c>
      <c r="B179" s="12">
        <v>46100</v>
      </c>
      <c r="C179" s="10" t="s">
        <v>21</v>
      </c>
      <c r="D179" s="10" t="s">
        <v>226</v>
      </c>
      <c r="E179" s="10" t="s">
        <v>8</v>
      </c>
      <c r="F179" s="13">
        <v>47.6</v>
      </c>
      <c r="G179" s="13">
        <v>3.8</v>
      </c>
      <c r="H179" s="13">
        <f t="shared" si="10"/>
        <v>51.4</v>
      </c>
      <c r="I179" s="13">
        <f t="shared" si="11"/>
        <v>27.599999999999998</v>
      </c>
      <c r="J179" s="13"/>
      <c r="K179" s="13"/>
      <c r="L179" s="13"/>
      <c r="M179" s="13"/>
      <c r="N179" s="13"/>
      <c r="O179" s="13"/>
      <c r="P179" s="13"/>
      <c r="Q179" s="13"/>
      <c r="R179" s="13"/>
      <c r="S179" s="13"/>
      <c r="T179" s="13"/>
      <c r="U179" s="13"/>
      <c r="V179" s="13"/>
      <c r="W179" s="13"/>
      <c r="X179" s="13"/>
      <c r="Y179" s="13"/>
      <c r="Z179" s="13" t="str">
        <f t="shared" si="12"/>
        <v>high</v>
      </c>
      <c r="AA179" s="13" t="str" cm="1">
        <f t="array" ref="AA179">_xlfn.IFS(H179&gt;30,"high",H179&gt;20,"medium",H179&lt;=20,"low")</f>
        <v>high</v>
      </c>
      <c r="AB179" s="13" t="b">
        <f t="shared" si="13"/>
        <v>1</v>
      </c>
      <c r="AC179" s="13" t="b">
        <f t="shared" si="14"/>
        <v>1</v>
      </c>
    </row>
    <row r="180" spans="1:29">
      <c r="A180" s="10" t="s">
        <v>136</v>
      </c>
      <c r="B180" s="12">
        <v>46102</v>
      </c>
      <c r="C180" s="10" t="s">
        <v>7</v>
      </c>
      <c r="D180" s="10" t="s">
        <v>224</v>
      </c>
      <c r="E180" s="10" t="s">
        <v>8</v>
      </c>
      <c r="F180" s="13">
        <v>12.02</v>
      </c>
      <c r="G180" s="13">
        <v>5.31</v>
      </c>
      <c r="H180" s="13">
        <f t="shared" si="10"/>
        <v>17.329999999999998</v>
      </c>
      <c r="I180" s="13">
        <f t="shared" si="11"/>
        <v>11.319999999999999</v>
      </c>
      <c r="J180" s="13"/>
      <c r="K180" s="13"/>
      <c r="L180" s="13"/>
      <c r="M180" s="13"/>
      <c r="N180" s="13"/>
      <c r="O180" s="13"/>
      <c r="P180" s="13"/>
      <c r="Q180" s="13"/>
      <c r="R180" s="13"/>
      <c r="S180" s="13"/>
      <c r="T180" s="13"/>
      <c r="U180" s="13"/>
      <c r="V180" s="13"/>
      <c r="W180" s="13"/>
      <c r="X180" s="13"/>
      <c r="Y180" s="13"/>
      <c r="Z180" s="13" t="str">
        <f t="shared" si="12"/>
        <v>low</v>
      </c>
      <c r="AA180" s="13" t="str" cm="1">
        <f t="array" ref="AA180">_xlfn.IFS(H180&gt;30,"high",H180&gt;20,"medium",H180&lt;=20,"low")</f>
        <v>low</v>
      </c>
      <c r="AB180" s="13" t="b">
        <f t="shared" si="13"/>
        <v>1</v>
      </c>
      <c r="AC180" s="13" t="b">
        <f t="shared" si="14"/>
        <v>1</v>
      </c>
    </row>
    <row r="181" spans="1:29">
      <c r="A181" s="10" t="s">
        <v>137</v>
      </c>
      <c r="B181" s="12">
        <v>45714</v>
      </c>
      <c r="C181" s="10" t="s">
        <v>5</v>
      </c>
      <c r="D181" s="10" t="s">
        <v>224</v>
      </c>
      <c r="E181" s="10" t="s">
        <v>15</v>
      </c>
      <c r="F181" s="13">
        <v>21.7</v>
      </c>
      <c r="G181" s="13">
        <v>3.62</v>
      </c>
      <c r="H181" s="13">
        <f t="shared" si="10"/>
        <v>25.32</v>
      </c>
      <c r="I181" s="13">
        <f t="shared" si="11"/>
        <v>14.47</v>
      </c>
      <c r="J181" s="13"/>
      <c r="K181" s="13"/>
      <c r="L181" s="13"/>
      <c r="M181" s="13"/>
      <c r="N181" s="13"/>
      <c r="O181" s="13"/>
      <c r="P181" s="13"/>
      <c r="Q181" s="13"/>
      <c r="R181" s="13"/>
      <c r="S181" s="13"/>
      <c r="T181" s="13"/>
      <c r="U181" s="13"/>
      <c r="V181" s="13"/>
      <c r="W181" s="13"/>
      <c r="X181" s="13"/>
      <c r="Y181" s="13"/>
      <c r="Z181" s="13" t="str">
        <f t="shared" si="12"/>
        <v>low</v>
      </c>
      <c r="AA181" s="13" t="str" cm="1">
        <f t="array" ref="AA181">_xlfn.IFS(H181&gt;30,"high",H181&gt;20,"medium",H181&lt;=20,"low")</f>
        <v>medium</v>
      </c>
      <c r="AB181" s="13" t="b">
        <f t="shared" si="13"/>
        <v>1</v>
      </c>
      <c r="AC181" s="13" t="b">
        <f t="shared" si="14"/>
        <v>1</v>
      </c>
    </row>
    <row r="182" spans="1:29">
      <c r="A182" s="10" t="s">
        <v>138</v>
      </c>
      <c r="B182" s="12">
        <v>46011</v>
      </c>
      <c r="C182" s="10" t="s">
        <v>5</v>
      </c>
      <c r="D182" s="10" t="s">
        <v>6</v>
      </c>
      <c r="E182" s="10" t="s">
        <v>12</v>
      </c>
      <c r="F182" s="13">
        <v>23.04</v>
      </c>
      <c r="G182" s="13">
        <v>3.26</v>
      </c>
      <c r="H182" s="13">
        <f t="shared" si="10"/>
        <v>26.299999999999997</v>
      </c>
      <c r="I182" s="13">
        <f t="shared" si="11"/>
        <v>14.779999999999998</v>
      </c>
      <c r="J182" s="13"/>
      <c r="K182" s="13"/>
      <c r="L182" s="13"/>
      <c r="M182" s="13"/>
      <c r="N182" s="13"/>
      <c r="O182" s="13"/>
      <c r="P182" s="13"/>
      <c r="Q182" s="13"/>
      <c r="R182" s="13"/>
      <c r="S182" s="13"/>
      <c r="T182" s="13"/>
      <c r="U182" s="13"/>
      <c r="V182" s="13"/>
      <c r="W182" s="13"/>
      <c r="X182" s="13"/>
      <c r="Y182" s="13"/>
      <c r="Z182" s="13" t="str">
        <f t="shared" si="12"/>
        <v>low</v>
      </c>
      <c r="AA182" s="13" t="str" cm="1">
        <f t="array" ref="AA182">_xlfn.IFS(H182&gt;30,"high",H182&gt;20,"medium",H182&lt;=20,"low")</f>
        <v>medium</v>
      </c>
      <c r="AB182" s="13" t="b">
        <f t="shared" si="13"/>
        <v>1</v>
      </c>
      <c r="AC182" s="13" t="b">
        <f t="shared" si="14"/>
        <v>1</v>
      </c>
    </row>
    <row r="183" spans="1:29">
      <c r="A183" s="10" t="s">
        <v>289</v>
      </c>
      <c r="B183" s="12">
        <v>46078</v>
      </c>
      <c r="C183" s="10" t="s">
        <v>21</v>
      </c>
      <c r="D183" s="10" t="s">
        <v>226</v>
      </c>
      <c r="E183" s="10" t="s">
        <v>6</v>
      </c>
      <c r="F183" s="13">
        <v>15.45</v>
      </c>
      <c r="G183" s="13">
        <v>4.4000000000000004</v>
      </c>
      <c r="H183" s="13">
        <f t="shared" si="10"/>
        <v>19.850000000000001</v>
      </c>
      <c r="I183" s="13">
        <f t="shared" si="11"/>
        <v>12.125</v>
      </c>
      <c r="J183" s="13"/>
      <c r="K183" s="13"/>
      <c r="L183" s="13"/>
      <c r="M183" s="13"/>
      <c r="N183" s="13"/>
      <c r="O183" s="13"/>
      <c r="P183" s="13"/>
      <c r="Q183" s="13"/>
      <c r="R183" s="13"/>
      <c r="S183" s="13"/>
      <c r="T183" s="13"/>
      <c r="U183" s="13"/>
      <c r="V183" s="13"/>
      <c r="W183" s="13"/>
      <c r="X183" s="13"/>
      <c r="Y183" s="13"/>
      <c r="Z183" s="13" t="str">
        <f t="shared" si="12"/>
        <v>low</v>
      </c>
      <c r="AA183" s="13" t="str" cm="1">
        <f t="array" ref="AA183">_xlfn.IFS(H183&gt;30,"high",H183&gt;20,"medium",H183&lt;=20,"low")</f>
        <v>low</v>
      </c>
      <c r="AB183" s="13" t="b">
        <f t="shared" si="13"/>
        <v>1</v>
      </c>
      <c r="AC183" s="13" t="b">
        <f t="shared" si="14"/>
        <v>1</v>
      </c>
    </row>
    <row r="184" spans="1:29">
      <c r="A184" s="10" t="s">
        <v>139</v>
      </c>
      <c r="B184" s="12">
        <v>46180</v>
      </c>
      <c r="C184" s="10" t="s">
        <v>5</v>
      </c>
      <c r="D184" s="10" t="s">
        <v>226</v>
      </c>
      <c r="E184" s="10" t="s">
        <v>15</v>
      </c>
      <c r="F184" s="13">
        <v>26.73</v>
      </c>
      <c r="G184" s="13">
        <v>4.78</v>
      </c>
      <c r="H184" s="13">
        <f t="shared" si="10"/>
        <v>31.51</v>
      </c>
      <c r="I184" s="13">
        <f t="shared" si="11"/>
        <v>18.145</v>
      </c>
      <c r="J184" s="13"/>
      <c r="K184" s="13"/>
      <c r="L184" s="13"/>
      <c r="M184" s="13"/>
      <c r="N184" s="13"/>
      <c r="O184" s="13"/>
      <c r="P184" s="13"/>
      <c r="Q184" s="13"/>
      <c r="R184" s="13"/>
      <c r="S184" s="13"/>
      <c r="T184" s="13"/>
      <c r="U184" s="13"/>
      <c r="V184" s="13"/>
      <c r="W184" s="13"/>
      <c r="X184" s="13"/>
      <c r="Y184" s="13"/>
      <c r="Z184" s="13" t="str">
        <f t="shared" si="12"/>
        <v>high</v>
      </c>
      <c r="AA184" s="13" t="str" cm="1">
        <f t="array" ref="AA184">_xlfn.IFS(H184&gt;30,"high",H184&gt;20,"medium",H184&lt;=20,"low")</f>
        <v>high</v>
      </c>
      <c r="AB184" s="13" t="b">
        <f t="shared" si="13"/>
        <v>1</v>
      </c>
      <c r="AC184" s="13" t="b">
        <f t="shared" si="14"/>
        <v>1</v>
      </c>
    </row>
    <row r="185" spans="1:29">
      <c r="A185" s="10" t="s">
        <v>140</v>
      </c>
      <c r="B185" s="12">
        <v>45965</v>
      </c>
      <c r="C185" s="10" t="s">
        <v>5</v>
      </c>
      <c r="D185" s="10" t="s">
        <v>224</v>
      </c>
      <c r="E185" s="10" t="s">
        <v>8</v>
      </c>
      <c r="F185" s="13">
        <v>24.66</v>
      </c>
      <c r="G185" s="13">
        <v>11.33</v>
      </c>
      <c r="H185" s="13">
        <f t="shared" si="10"/>
        <v>35.99</v>
      </c>
      <c r="I185" s="13">
        <f t="shared" si="11"/>
        <v>23.66</v>
      </c>
      <c r="J185" s="13"/>
      <c r="K185" s="13"/>
      <c r="L185" s="13"/>
      <c r="M185" s="13"/>
      <c r="N185" s="13"/>
      <c r="O185" s="13"/>
      <c r="P185" s="13"/>
      <c r="Q185" s="13"/>
      <c r="R185" s="13"/>
      <c r="S185" s="13"/>
      <c r="T185" s="13"/>
      <c r="U185" s="13"/>
      <c r="V185" s="13"/>
      <c r="W185" s="13"/>
      <c r="X185" s="13"/>
      <c r="Y185" s="13"/>
      <c r="Z185" s="13" t="str">
        <f t="shared" si="12"/>
        <v>high</v>
      </c>
      <c r="AA185" s="13" t="str" cm="1">
        <f t="array" ref="AA185">_xlfn.IFS(H185&gt;30,"high",H185&gt;20,"medium",H185&lt;=20,"low")</f>
        <v>high</v>
      </c>
      <c r="AB185" s="13" t="b">
        <f t="shared" si="13"/>
        <v>1</v>
      </c>
      <c r="AC185" s="13" t="b">
        <f t="shared" si="14"/>
        <v>1</v>
      </c>
    </row>
    <row r="186" spans="1:29">
      <c r="A186" s="10" t="s">
        <v>141</v>
      </c>
      <c r="B186" s="12">
        <v>45948</v>
      </c>
      <c r="C186" s="10" t="s">
        <v>19</v>
      </c>
      <c r="D186" s="10" t="s">
        <v>226</v>
      </c>
      <c r="E186" s="10" t="s">
        <v>15</v>
      </c>
      <c r="F186" s="13">
        <v>24.68</v>
      </c>
      <c r="G186" s="13">
        <v>8.2799999999999994</v>
      </c>
      <c r="H186" s="13">
        <f t="shared" si="10"/>
        <v>32.96</v>
      </c>
      <c r="I186" s="13">
        <f t="shared" si="11"/>
        <v>20.62</v>
      </c>
      <c r="J186" s="13"/>
      <c r="K186" s="13"/>
      <c r="L186" s="13"/>
      <c r="M186" s="13"/>
      <c r="N186" s="13"/>
      <c r="O186" s="13"/>
      <c r="P186" s="13"/>
      <c r="Q186" s="13"/>
      <c r="R186" s="13"/>
      <c r="S186" s="13"/>
      <c r="T186" s="13"/>
      <c r="U186" s="13"/>
      <c r="V186" s="13"/>
      <c r="W186" s="13"/>
      <c r="X186" s="13"/>
      <c r="Y186" s="13"/>
      <c r="Z186" s="13" t="str">
        <f t="shared" si="12"/>
        <v>high</v>
      </c>
      <c r="AA186" s="13" t="str" cm="1">
        <f t="array" ref="AA186">_xlfn.IFS(H186&gt;30,"high",H186&gt;20,"medium",H186&lt;=20,"low")</f>
        <v>high</v>
      </c>
      <c r="AB186" s="13" t="b">
        <f t="shared" si="13"/>
        <v>1</v>
      </c>
      <c r="AC186" s="13" t="b">
        <f t="shared" si="14"/>
        <v>1</v>
      </c>
    </row>
    <row r="187" spans="1:29">
      <c r="A187" s="10" t="s">
        <v>142</v>
      </c>
      <c r="B187" s="12">
        <v>46022</v>
      </c>
      <c r="C187" s="10" t="s">
        <v>19</v>
      </c>
      <c r="D187" s="10" t="s">
        <v>226</v>
      </c>
      <c r="E187" s="10" t="s">
        <v>15</v>
      </c>
      <c r="F187" s="13">
        <v>15.45</v>
      </c>
      <c r="G187" s="13">
        <v>3.85</v>
      </c>
      <c r="H187" s="13">
        <f t="shared" si="10"/>
        <v>19.3</v>
      </c>
      <c r="I187" s="13">
        <f t="shared" si="11"/>
        <v>11.575000000000001</v>
      </c>
      <c r="J187" s="13"/>
      <c r="K187" s="13"/>
      <c r="L187" s="13"/>
      <c r="M187" s="13"/>
      <c r="N187" s="13"/>
      <c r="O187" s="13"/>
      <c r="P187" s="13"/>
      <c r="Q187" s="13"/>
      <c r="R187" s="13"/>
      <c r="S187" s="13"/>
      <c r="T187" s="13"/>
      <c r="U187" s="13"/>
      <c r="V187" s="13"/>
      <c r="W187" s="13"/>
      <c r="X187" s="13"/>
      <c r="Y187" s="13"/>
      <c r="Z187" s="13" t="str">
        <f t="shared" si="12"/>
        <v>low</v>
      </c>
      <c r="AA187" s="13" t="str" cm="1">
        <f t="array" ref="AA187">_xlfn.IFS(H187&gt;30,"high",H187&gt;20,"medium",H187&lt;=20,"low")</f>
        <v>low</v>
      </c>
      <c r="AB187" s="13" t="b">
        <f t="shared" si="13"/>
        <v>1</v>
      </c>
      <c r="AC187" s="13" t="b">
        <f t="shared" si="14"/>
        <v>1</v>
      </c>
    </row>
    <row r="188" spans="1:29">
      <c r="A188" s="10" t="s">
        <v>290</v>
      </c>
      <c r="B188" s="12">
        <v>46206</v>
      </c>
      <c r="C188" s="10" t="s">
        <v>9</v>
      </c>
      <c r="D188" s="10" t="s">
        <v>226</v>
      </c>
      <c r="E188" s="10" t="s">
        <v>8</v>
      </c>
      <c r="F188" s="13">
        <v>3.76</v>
      </c>
      <c r="G188" s="13">
        <v>1.82</v>
      </c>
      <c r="H188" s="13">
        <f t="shared" si="10"/>
        <v>5.58</v>
      </c>
      <c r="I188" s="13">
        <f t="shared" si="11"/>
        <v>3.7</v>
      </c>
      <c r="J188" s="13"/>
      <c r="K188" s="13"/>
      <c r="L188" s="13"/>
      <c r="M188" s="13"/>
      <c r="N188" s="13"/>
      <c r="O188" s="13"/>
      <c r="P188" s="13"/>
      <c r="Q188" s="13"/>
      <c r="R188" s="13"/>
      <c r="S188" s="13"/>
      <c r="T188" s="13"/>
      <c r="U188" s="13"/>
      <c r="V188" s="13"/>
      <c r="W188" s="13"/>
      <c r="X188" s="13"/>
      <c r="Y188" s="13"/>
      <c r="Z188" s="13" t="str">
        <f t="shared" si="12"/>
        <v>low</v>
      </c>
      <c r="AA188" s="13" t="str" cm="1">
        <f t="array" ref="AA188">_xlfn.IFS(H188&gt;30,"high",H188&gt;20,"medium",H188&lt;=20,"low")</f>
        <v>low</v>
      </c>
      <c r="AB188" s="13" t="b">
        <f t="shared" si="13"/>
        <v>0</v>
      </c>
      <c r="AC188" s="13" t="b">
        <f t="shared" si="14"/>
        <v>1</v>
      </c>
    </row>
    <row r="189" spans="1:29">
      <c r="A189" s="10" t="s">
        <v>291</v>
      </c>
      <c r="B189" s="12">
        <v>45757</v>
      </c>
      <c r="C189" s="10" t="s">
        <v>5</v>
      </c>
      <c r="D189" s="10" t="s">
        <v>224</v>
      </c>
      <c r="E189" s="10" t="s">
        <v>8</v>
      </c>
      <c r="F189" s="13">
        <v>26.61</v>
      </c>
      <c r="G189" s="13">
        <v>2.6</v>
      </c>
      <c r="H189" s="13">
        <f t="shared" si="10"/>
        <v>29.21</v>
      </c>
      <c r="I189" s="13">
        <f t="shared" si="11"/>
        <v>15.905000000000001</v>
      </c>
      <c r="J189" s="13"/>
      <c r="K189" s="13"/>
      <c r="L189" s="13"/>
      <c r="M189" s="13"/>
      <c r="N189" s="13"/>
      <c r="O189" s="13"/>
      <c r="P189" s="13"/>
      <c r="Q189" s="13"/>
      <c r="R189" s="13"/>
      <c r="S189" s="13"/>
      <c r="T189" s="13"/>
      <c r="U189" s="13"/>
      <c r="V189" s="13"/>
      <c r="W189" s="13"/>
      <c r="X189" s="13"/>
      <c r="Y189" s="13"/>
      <c r="Z189" s="13" t="str">
        <f t="shared" si="12"/>
        <v>low</v>
      </c>
      <c r="AA189" s="13" t="str" cm="1">
        <f t="array" ref="AA189">_xlfn.IFS(H189&gt;30,"high",H189&gt;20,"medium",H189&lt;=20,"low")</f>
        <v>medium</v>
      </c>
      <c r="AB189" s="13" t="b">
        <f t="shared" si="13"/>
        <v>1</v>
      </c>
      <c r="AC189" s="13" t="b">
        <f t="shared" si="14"/>
        <v>1</v>
      </c>
    </row>
    <row r="190" spans="1:29">
      <c r="A190" s="10" t="s">
        <v>143</v>
      </c>
      <c r="B190" s="12">
        <v>45838</v>
      </c>
      <c r="C190" s="10" t="s">
        <v>21</v>
      </c>
      <c r="D190" s="10" t="s">
        <v>6</v>
      </c>
      <c r="E190" s="10" t="s">
        <v>8</v>
      </c>
      <c r="F190" s="13">
        <v>9.9499999999999993</v>
      </c>
      <c r="G190" s="13">
        <v>4.74</v>
      </c>
      <c r="H190" s="13">
        <f t="shared" si="10"/>
        <v>14.69</v>
      </c>
      <c r="I190" s="13">
        <f t="shared" si="11"/>
        <v>9.7149999999999999</v>
      </c>
      <c r="J190" s="13"/>
      <c r="K190" s="13"/>
      <c r="L190" s="13"/>
      <c r="M190" s="13"/>
      <c r="N190" s="13"/>
      <c r="O190" s="13"/>
      <c r="P190" s="13"/>
      <c r="Q190" s="13"/>
      <c r="R190" s="13"/>
      <c r="S190" s="13"/>
      <c r="T190" s="13"/>
      <c r="U190" s="13"/>
      <c r="V190" s="13"/>
      <c r="W190" s="13"/>
      <c r="X190" s="13"/>
      <c r="Y190" s="13"/>
      <c r="Z190" s="13" t="str">
        <f t="shared" si="12"/>
        <v>low</v>
      </c>
      <c r="AA190" s="13" t="str" cm="1">
        <f t="array" ref="AA190">_xlfn.IFS(H190&gt;30,"high",H190&gt;20,"medium",H190&lt;=20,"low")</f>
        <v>low</v>
      </c>
      <c r="AB190" s="13" t="b">
        <f t="shared" si="13"/>
        <v>0</v>
      </c>
      <c r="AC190" s="13" t="b">
        <f t="shared" si="14"/>
        <v>1</v>
      </c>
    </row>
    <row r="191" spans="1:29">
      <c r="A191" s="10" t="s">
        <v>292</v>
      </c>
      <c r="B191" s="12">
        <v>46143</v>
      </c>
      <c r="C191" s="10" t="s">
        <v>5</v>
      </c>
      <c r="D191" s="10" t="s">
        <v>224</v>
      </c>
      <c r="E191" s="10" t="s">
        <v>12</v>
      </c>
      <c r="F191" s="13">
        <v>24.94</v>
      </c>
      <c r="G191" s="13">
        <v>2.5299999999999998</v>
      </c>
      <c r="H191" s="13">
        <f t="shared" si="10"/>
        <v>27.470000000000002</v>
      </c>
      <c r="I191" s="13">
        <f t="shared" si="11"/>
        <v>15.000000000000002</v>
      </c>
      <c r="J191" s="13"/>
      <c r="K191" s="13"/>
      <c r="L191" s="13"/>
      <c r="M191" s="13"/>
      <c r="N191" s="13"/>
      <c r="O191" s="13"/>
      <c r="P191" s="13"/>
      <c r="Q191" s="13"/>
      <c r="R191" s="13"/>
      <c r="S191" s="13"/>
      <c r="T191" s="13"/>
      <c r="U191" s="13"/>
      <c r="V191" s="13"/>
      <c r="W191" s="13"/>
      <c r="X191" s="13"/>
      <c r="Y191" s="13"/>
      <c r="Z191" s="13" t="str">
        <f t="shared" si="12"/>
        <v>low</v>
      </c>
      <c r="AA191" s="13" t="str" cm="1">
        <f t="array" ref="AA191">_xlfn.IFS(H191&gt;30,"high",H191&gt;20,"medium",H191&lt;=20,"low")</f>
        <v>medium</v>
      </c>
      <c r="AB191" s="13" t="b">
        <f t="shared" si="13"/>
        <v>1</v>
      </c>
      <c r="AC191" s="13" t="b">
        <f t="shared" si="14"/>
        <v>1</v>
      </c>
    </row>
    <row r="192" spans="1:29">
      <c r="A192" s="10" t="s">
        <v>293</v>
      </c>
      <c r="B192" s="12">
        <v>45961</v>
      </c>
      <c r="C192" s="10" t="s">
        <v>7</v>
      </c>
      <c r="D192" s="10" t="s">
        <v>226</v>
      </c>
      <c r="E192" s="10" t="s">
        <v>8</v>
      </c>
      <c r="F192" s="13">
        <v>15.56</v>
      </c>
      <c r="G192" s="13">
        <v>-1</v>
      </c>
      <c r="H192" s="13">
        <f t="shared" si="10"/>
        <v>14.56</v>
      </c>
      <c r="I192" s="13">
        <f t="shared" si="11"/>
        <v>6.78</v>
      </c>
      <c r="J192" s="13"/>
      <c r="K192" s="13"/>
      <c r="L192" s="13"/>
      <c r="M192" s="13"/>
      <c r="N192" s="13"/>
      <c r="O192" s="13"/>
      <c r="P192" s="13"/>
      <c r="Q192" s="13"/>
      <c r="R192" s="13"/>
      <c r="S192" s="13"/>
      <c r="T192" s="13"/>
      <c r="U192" s="13"/>
      <c r="V192" s="13"/>
      <c r="W192" s="13"/>
      <c r="X192" s="13"/>
      <c r="Y192" s="13"/>
      <c r="Z192" s="13" t="str">
        <f t="shared" si="12"/>
        <v>low</v>
      </c>
      <c r="AA192" s="13" t="str" cm="1">
        <f t="array" ref="AA192">_xlfn.IFS(H192&gt;30,"high",H192&gt;20,"medium",H192&lt;=20,"low")</f>
        <v>low</v>
      </c>
      <c r="AB192" s="13" t="b">
        <f t="shared" si="13"/>
        <v>0</v>
      </c>
      <c r="AC192" s="13" t="b">
        <f t="shared" si="14"/>
        <v>1</v>
      </c>
    </row>
    <row r="193" spans="1:29">
      <c r="A193" s="10" t="s">
        <v>144</v>
      </c>
      <c r="B193" s="12">
        <v>46058</v>
      </c>
      <c r="C193" s="10" t="s">
        <v>5</v>
      </c>
      <c r="D193" s="10" t="s">
        <v>6</v>
      </c>
      <c r="E193" s="10" t="s">
        <v>8</v>
      </c>
      <c r="F193" s="13">
        <v>24.78</v>
      </c>
      <c r="G193" s="13">
        <v>2.52</v>
      </c>
      <c r="H193" s="13">
        <f t="shared" si="10"/>
        <v>27.3</v>
      </c>
      <c r="I193" s="13">
        <f t="shared" si="11"/>
        <v>14.91</v>
      </c>
      <c r="J193" s="13"/>
      <c r="K193" s="13"/>
      <c r="L193" s="13"/>
      <c r="M193" s="13"/>
      <c r="N193" s="13"/>
      <c r="O193" s="13"/>
      <c r="P193" s="13"/>
      <c r="Q193" s="13"/>
      <c r="R193" s="13"/>
      <c r="S193" s="13"/>
      <c r="T193" s="13"/>
      <c r="U193" s="13"/>
      <c r="V193" s="13"/>
      <c r="W193" s="13"/>
      <c r="X193" s="13"/>
      <c r="Y193" s="13"/>
      <c r="Z193" s="13" t="str">
        <f t="shared" si="12"/>
        <v>low</v>
      </c>
      <c r="AA193" s="13" t="str" cm="1">
        <f t="array" ref="AA193">_xlfn.IFS(H193&gt;30,"high",H193&gt;20,"medium",H193&lt;=20,"low")</f>
        <v>medium</v>
      </c>
      <c r="AB193" s="13" t="b">
        <f t="shared" si="13"/>
        <v>1</v>
      </c>
      <c r="AC193" s="13" t="b">
        <f t="shared" si="14"/>
        <v>1</v>
      </c>
    </row>
    <row r="194" spans="1:29">
      <c r="A194" s="10" t="s">
        <v>145</v>
      </c>
      <c r="B194" s="12">
        <v>45890</v>
      </c>
      <c r="C194" s="10" t="s">
        <v>5</v>
      </c>
      <c r="D194" s="10" t="s">
        <v>226</v>
      </c>
      <c r="E194" s="10" t="s">
        <v>8</v>
      </c>
      <c r="F194" s="13">
        <v>29.57</v>
      </c>
      <c r="G194" s="13">
        <v>2.52</v>
      </c>
      <c r="H194" s="13">
        <f t="shared" si="10"/>
        <v>32.090000000000003</v>
      </c>
      <c r="I194" s="13">
        <f t="shared" si="11"/>
        <v>17.305000000000003</v>
      </c>
      <c r="J194" s="13"/>
      <c r="K194" s="13"/>
      <c r="L194" s="13"/>
      <c r="M194" s="13"/>
      <c r="N194" s="13"/>
      <c r="O194" s="13"/>
      <c r="P194" s="13"/>
      <c r="Q194" s="13"/>
      <c r="R194" s="13"/>
      <c r="S194" s="13"/>
      <c r="T194" s="13"/>
      <c r="U194" s="13"/>
      <c r="V194" s="13"/>
      <c r="W194" s="13"/>
      <c r="X194" s="13"/>
      <c r="Y194" s="13"/>
      <c r="Z194" s="13" t="str">
        <f t="shared" si="12"/>
        <v>high</v>
      </c>
      <c r="AA194" s="13" t="str" cm="1">
        <f t="array" ref="AA194">_xlfn.IFS(H194&gt;30,"high",H194&gt;20,"medium",H194&lt;=20,"low")</f>
        <v>high</v>
      </c>
      <c r="AB194" s="13" t="b">
        <f t="shared" si="13"/>
        <v>1</v>
      </c>
      <c r="AC194" s="13" t="b">
        <f t="shared" si="14"/>
        <v>1</v>
      </c>
    </row>
    <row r="195" spans="1:29">
      <c r="A195" s="10" t="s">
        <v>146</v>
      </c>
      <c r="B195" s="12">
        <v>46094</v>
      </c>
      <c r="C195" s="10" t="s">
        <v>19</v>
      </c>
      <c r="D195" s="10" t="s">
        <v>226</v>
      </c>
      <c r="E195" s="10" t="s">
        <v>12</v>
      </c>
      <c r="F195" s="13">
        <v>20.79</v>
      </c>
      <c r="G195" s="13">
        <v>3.96</v>
      </c>
      <c r="H195" s="13">
        <f t="shared" ref="H195:H258" si="15">SUM(F195,G195)</f>
        <v>24.75</v>
      </c>
      <c r="I195" s="13">
        <f t="shared" ref="I195:I258" si="16">AVERAGE(G195,H195)</f>
        <v>14.355</v>
      </c>
      <c r="J195" s="13"/>
      <c r="K195" s="13"/>
      <c r="L195" s="13"/>
      <c r="M195" s="13"/>
      <c r="N195" s="13"/>
      <c r="O195" s="13"/>
      <c r="P195" s="13"/>
      <c r="Q195" s="13"/>
      <c r="R195" s="13"/>
      <c r="S195" s="13"/>
      <c r="T195" s="13"/>
      <c r="U195" s="13"/>
      <c r="V195" s="13"/>
      <c r="W195" s="13"/>
      <c r="X195" s="13"/>
      <c r="Y195" s="13"/>
      <c r="Z195" s="13" t="str">
        <f t="shared" ref="Z195:Z258" si="17">IF(H195&gt;30,"high","low")</f>
        <v>low</v>
      </c>
      <c r="AA195" s="13" t="str" cm="1">
        <f t="array" ref="AA195">_xlfn.IFS(H195&gt;30,"high",H195&gt;20,"medium",H195&lt;=20,"low")</f>
        <v>medium</v>
      </c>
      <c r="AB195" s="13" t="b">
        <f t="shared" ref="AB195:AB258" si="18">AND(I195&gt;10,I195&lt;30)</f>
        <v>1</v>
      </c>
      <c r="AC195" s="13" t="b">
        <f t="shared" ref="AC195:AC258" si="19">OR(I195&gt;10,I195&lt;30)</f>
        <v>1</v>
      </c>
    </row>
    <row r="196" spans="1:29">
      <c r="A196" s="10" t="s">
        <v>147</v>
      </c>
      <c r="B196" s="12">
        <v>45887</v>
      </c>
      <c r="C196" s="10" t="s">
        <v>14</v>
      </c>
      <c r="D196" s="10" t="s">
        <v>226</v>
      </c>
      <c r="E196" s="10" t="s">
        <v>12</v>
      </c>
      <c r="F196" s="13">
        <v>22.64</v>
      </c>
      <c r="G196" s="13">
        <v>5.2</v>
      </c>
      <c r="H196" s="13">
        <f t="shared" si="15"/>
        <v>27.84</v>
      </c>
      <c r="I196" s="13">
        <f t="shared" si="16"/>
        <v>16.52</v>
      </c>
      <c r="J196" s="13"/>
      <c r="K196" s="13"/>
      <c r="L196" s="13"/>
      <c r="M196" s="13"/>
      <c r="N196" s="13"/>
      <c r="O196" s="13"/>
      <c r="P196" s="13"/>
      <c r="Q196" s="13"/>
      <c r="R196" s="13"/>
      <c r="S196" s="13"/>
      <c r="T196" s="13"/>
      <c r="U196" s="13"/>
      <c r="V196" s="13"/>
      <c r="W196" s="13"/>
      <c r="X196" s="13"/>
      <c r="Y196" s="13"/>
      <c r="Z196" s="13" t="str">
        <f t="shared" si="17"/>
        <v>low</v>
      </c>
      <c r="AA196" s="13" t="str" cm="1">
        <f t="array" ref="AA196">_xlfn.IFS(H196&gt;30,"high",H196&gt;20,"medium",H196&lt;=20,"low")</f>
        <v>medium</v>
      </c>
      <c r="AB196" s="13" t="b">
        <f t="shared" si="18"/>
        <v>1</v>
      </c>
      <c r="AC196" s="13" t="b">
        <f t="shared" si="19"/>
        <v>1</v>
      </c>
    </row>
    <row r="197" spans="1:29">
      <c r="A197" s="10" t="s">
        <v>148</v>
      </c>
      <c r="B197" s="12">
        <v>46080</v>
      </c>
      <c r="C197" s="10" t="s">
        <v>5</v>
      </c>
      <c r="D197" s="10" t="s">
        <v>224</v>
      </c>
      <c r="E197" s="10" t="s">
        <v>8</v>
      </c>
      <c r="F197" s="13">
        <v>25.84</v>
      </c>
      <c r="G197" s="13">
        <v>3.06</v>
      </c>
      <c r="H197" s="13">
        <f t="shared" si="15"/>
        <v>28.9</v>
      </c>
      <c r="I197" s="13">
        <f t="shared" si="16"/>
        <v>15.979999999999999</v>
      </c>
      <c r="J197" s="13"/>
      <c r="K197" s="13"/>
      <c r="L197" s="13"/>
      <c r="M197" s="13"/>
      <c r="N197" s="13"/>
      <c r="O197" s="13"/>
      <c r="P197" s="13"/>
      <c r="Q197" s="13"/>
      <c r="R197" s="13"/>
      <c r="S197" s="13"/>
      <c r="T197" s="13"/>
      <c r="U197" s="13"/>
      <c r="V197" s="13"/>
      <c r="W197" s="13"/>
      <c r="X197" s="13"/>
      <c r="Y197" s="13"/>
      <c r="Z197" s="13" t="str">
        <f t="shared" si="17"/>
        <v>low</v>
      </c>
      <c r="AA197" s="13" t="str" cm="1">
        <f t="array" ref="AA197">_xlfn.IFS(H197&gt;30,"high",H197&gt;20,"medium",H197&lt;=20,"low")</f>
        <v>medium</v>
      </c>
      <c r="AB197" s="13" t="b">
        <f t="shared" si="18"/>
        <v>1</v>
      </c>
      <c r="AC197" s="13" t="b">
        <f t="shared" si="19"/>
        <v>1</v>
      </c>
    </row>
    <row r="198" spans="1:29">
      <c r="A198" s="10" t="s">
        <v>294</v>
      </c>
      <c r="B198" s="12">
        <v>45672</v>
      </c>
      <c r="C198" s="10" t="s">
        <v>5</v>
      </c>
      <c r="D198" s="10" t="s">
        <v>226</v>
      </c>
      <c r="E198" s="10" t="s">
        <v>8</v>
      </c>
      <c r="F198" s="13">
        <v>32.549999999999997</v>
      </c>
      <c r="G198" s="13">
        <v>2.15</v>
      </c>
      <c r="H198" s="13">
        <f t="shared" si="15"/>
        <v>34.699999999999996</v>
      </c>
      <c r="I198" s="13">
        <f t="shared" si="16"/>
        <v>18.424999999999997</v>
      </c>
      <c r="J198" s="13"/>
      <c r="K198" s="13"/>
      <c r="L198" s="13"/>
      <c r="M198" s="13"/>
      <c r="N198" s="13"/>
      <c r="O198" s="13"/>
      <c r="P198" s="13"/>
      <c r="Q198" s="13"/>
      <c r="R198" s="13"/>
      <c r="S198" s="13"/>
      <c r="T198" s="13"/>
      <c r="U198" s="13"/>
      <c r="V198" s="13"/>
      <c r="W198" s="13"/>
      <c r="X198" s="13"/>
      <c r="Y198" s="13"/>
      <c r="Z198" s="13" t="str">
        <f t="shared" si="17"/>
        <v>high</v>
      </c>
      <c r="AA198" s="13" t="str" cm="1">
        <f t="array" ref="AA198">_xlfn.IFS(H198&gt;30,"high",H198&gt;20,"medium",H198&lt;=20,"low")</f>
        <v>high</v>
      </c>
      <c r="AB198" s="13" t="b">
        <f t="shared" si="18"/>
        <v>1</v>
      </c>
      <c r="AC198" s="13" t="b">
        <f t="shared" si="19"/>
        <v>1</v>
      </c>
    </row>
    <row r="199" spans="1:29">
      <c r="A199" s="10" t="s">
        <v>295</v>
      </c>
      <c r="B199" s="12">
        <v>46083</v>
      </c>
      <c r="C199" s="10" t="s">
        <v>5</v>
      </c>
      <c r="D199" s="10" t="s">
        <v>6</v>
      </c>
      <c r="E199" s="10" t="s">
        <v>15</v>
      </c>
      <c r="F199" s="13">
        <v>21.39</v>
      </c>
      <c r="G199" s="13">
        <v>14.27</v>
      </c>
      <c r="H199" s="13">
        <f t="shared" si="15"/>
        <v>35.659999999999997</v>
      </c>
      <c r="I199" s="13">
        <f t="shared" si="16"/>
        <v>24.964999999999996</v>
      </c>
      <c r="J199" s="13"/>
      <c r="K199" s="13"/>
      <c r="L199" s="13"/>
      <c r="M199" s="13"/>
      <c r="N199" s="13"/>
      <c r="O199" s="13"/>
      <c r="P199" s="13"/>
      <c r="Q199" s="13"/>
      <c r="R199" s="13"/>
      <c r="S199" s="13"/>
      <c r="T199" s="13"/>
      <c r="U199" s="13"/>
      <c r="V199" s="13"/>
      <c r="W199" s="13"/>
      <c r="X199" s="13"/>
      <c r="Y199" s="13"/>
      <c r="Z199" s="13" t="str">
        <f t="shared" si="17"/>
        <v>high</v>
      </c>
      <c r="AA199" s="13" t="str" cm="1">
        <f t="array" ref="AA199">_xlfn.IFS(H199&gt;30,"high",H199&gt;20,"medium",H199&lt;=20,"low")</f>
        <v>high</v>
      </c>
      <c r="AB199" s="13" t="b">
        <f t="shared" si="18"/>
        <v>1</v>
      </c>
      <c r="AC199" s="13" t="b">
        <f t="shared" si="19"/>
        <v>1</v>
      </c>
    </row>
    <row r="200" spans="1:29">
      <c r="A200" s="10" t="s">
        <v>149</v>
      </c>
      <c r="B200" s="12">
        <v>45883</v>
      </c>
      <c r="C200" s="10" t="s">
        <v>5</v>
      </c>
      <c r="D200" s="10" t="s">
        <v>224</v>
      </c>
      <c r="E200" s="10" t="s">
        <v>12</v>
      </c>
      <c r="F200" s="13">
        <v>9.7200000000000006</v>
      </c>
      <c r="G200" s="13">
        <v>4.5599999999999996</v>
      </c>
      <c r="H200" s="13">
        <f t="shared" si="15"/>
        <v>14.280000000000001</v>
      </c>
      <c r="I200" s="13">
        <f t="shared" si="16"/>
        <v>9.42</v>
      </c>
      <c r="J200" s="13"/>
      <c r="K200" s="13"/>
      <c r="L200" s="13"/>
      <c r="M200" s="13"/>
      <c r="N200" s="13"/>
      <c r="O200" s="13"/>
      <c r="P200" s="13"/>
      <c r="Q200" s="13"/>
      <c r="R200" s="13"/>
      <c r="S200" s="13"/>
      <c r="T200" s="13"/>
      <c r="U200" s="13"/>
      <c r="V200" s="13"/>
      <c r="W200" s="13"/>
      <c r="X200" s="13"/>
      <c r="Y200" s="13"/>
      <c r="Z200" s="13" t="str">
        <f t="shared" si="17"/>
        <v>low</v>
      </c>
      <c r="AA200" s="13" t="str" cm="1">
        <f t="array" ref="AA200">_xlfn.IFS(H200&gt;30,"high",H200&gt;20,"medium",H200&lt;=20,"low")</f>
        <v>low</v>
      </c>
      <c r="AB200" s="13" t="b">
        <f t="shared" si="18"/>
        <v>0</v>
      </c>
      <c r="AC200" s="13" t="b">
        <f t="shared" si="19"/>
        <v>1</v>
      </c>
    </row>
    <row r="201" spans="1:29">
      <c r="A201" s="10" t="s">
        <v>296</v>
      </c>
      <c r="B201" s="12">
        <v>45980</v>
      </c>
      <c r="C201" s="10" t="s">
        <v>5</v>
      </c>
      <c r="D201" s="10" t="s">
        <v>224</v>
      </c>
      <c r="E201" s="10" t="s">
        <v>8</v>
      </c>
      <c r="F201" s="13">
        <v>65.06</v>
      </c>
      <c r="G201" s="13">
        <v>4.74</v>
      </c>
      <c r="H201" s="13">
        <f t="shared" si="15"/>
        <v>69.8</v>
      </c>
      <c r="I201" s="13">
        <f t="shared" si="16"/>
        <v>37.269999999999996</v>
      </c>
      <c r="J201" s="13"/>
      <c r="K201" s="13"/>
      <c r="L201" s="13"/>
      <c r="M201" s="13"/>
      <c r="N201" s="13"/>
      <c r="O201" s="13"/>
      <c r="P201" s="13"/>
      <c r="Q201" s="13"/>
      <c r="R201" s="13"/>
      <c r="S201" s="13"/>
      <c r="T201" s="13"/>
      <c r="U201" s="13"/>
      <c r="V201" s="13"/>
      <c r="W201" s="13"/>
      <c r="X201" s="13"/>
      <c r="Y201" s="13"/>
      <c r="Z201" s="13" t="str">
        <f t="shared" si="17"/>
        <v>high</v>
      </c>
      <c r="AA201" s="13" t="str" cm="1">
        <f t="array" ref="AA201">_xlfn.IFS(H201&gt;30,"high",H201&gt;20,"medium",H201&lt;=20,"low")</f>
        <v>high</v>
      </c>
      <c r="AB201" s="13" t="b">
        <f t="shared" si="18"/>
        <v>0</v>
      </c>
      <c r="AC201" s="13" t="b">
        <f t="shared" si="19"/>
        <v>1</v>
      </c>
    </row>
    <row r="202" spans="1:29">
      <c r="A202" s="10" t="s">
        <v>150</v>
      </c>
      <c r="B202" s="12">
        <v>45778</v>
      </c>
      <c r="C202" s="10" t="s">
        <v>5</v>
      </c>
      <c r="D202" s="10" t="s">
        <v>226</v>
      </c>
      <c r="E202" s="10" t="s">
        <v>12</v>
      </c>
      <c r="F202" s="13">
        <v>14.03</v>
      </c>
      <c r="G202" s="13">
        <v>4.3</v>
      </c>
      <c r="H202" s="13">
        <f t="shared" si="15"/>
        <v>18.329999999999998</v>
      </c>
      <c r="I202" s="13">
        <f t="shared" si="16"/>
        <v>11.315</v>
      </c>
      <c r="J202" s="13"/>
      <c r="K202" s="13"/>
      <c r="L202" s="13"/>
      <c r="M202" s="13"/>
      <c r="N202" s="13"/>
      <c r="O202" s="13"/>
      <c r="P202" s="13"/>
      <c r="Q202" s="13"/>
      <c r="R202" s="13"/>
      <c r="S202" s="13"/>
      <c r="T202" s="13"/>
      <c r="U202" s="13"/>
      <c r="V202" s="13"/>
      <c r="W202" s="13"/>
      <c r="X202" s="13"/>
      <c r="Y202" s="13"/>
      <c r="Z202" s="13" t="str">
        <f t="shared" si="17"/>
        <v>low</v>
      </c>
      <c r="AA202" s="13" t="str" cm="1">
        <f t="array" ref="AA202">_xlfn.IFS(H202&gt;30,"high",H202&gt;20,"medium",H202&lt;=20,"low")</f>
        <v>low</v>
      </c>
      <c r="AB202" s="13" t="b">
        <f t="shared" si="18"/>
        <v>1</v>
      </c>
      <c r="AC202" s="13" t="b">
        <f t="shared" si="19"/>
        <v>1</v>
      </c>
    </row>
    <row r="203" spans="1:29">
      <c r="A203" s="10" t="s">
        <v>151</v>
      </c>
      <c r="B203" s="12">
        <v>46081</v>
      </c>
      <c r="C203" s="10" t="s">
        <v>14</v>
      </c>
      <c r="D203" s="10" t="s">
        <v>224</v>
      </c>
      <c r="E203" s="10" t="s">
        <v>8</v>
      </c>
      <c r="F203" s="13">
        <v>62.43</v>
      </c>
      <c r="G203" s="13">
        <v>3.05</v>
      </c>
      <c r="H203" s="13">
        <f t="shared" si="15"/>
        <v>65.48</v>
      </c>
      <c r="I203" s="13">
        <f t="shared" si="16"/>
        <v>34.265000000000001</v>
      </c>
      <c r="J203" s="13"/>
      <c r="K203" s="13"/>
      <c r="L203" s="13"/>
      <c r="M203" s="13"/>
      <c r="N203" s="13"/>
      <c r="O203" s="13"/>
      <c r="P203" s="13"/>
      <c r="Q203" s="13"/>
      <c r="R203" s="13"/>
      <c r="S203" s="13"/>
      <c r="T203" s="13"/>
      <c r="U203" s="13"/>
      <c r="V203" s="13"/>
      <c r="W203" s="13"/>
      <c r="X203" s="13"/>
      <c r="Y203" s="13"/>
      <c r="Z203" s="13" t="str">
        <f t="shared" si="17"/>
        <v>high</v>
      </c>
      <c r="AA203" s="13" t="str" cm="1">
        <f t="array" ref="AA203">_xlfn.IFS(H203&gt;30,"high",H203&gt;20,"medium",H203&lt;=20,"low")</f>
        <v>high</v>
      </c>
      <c r="AB203" s="13" t="b">
        <f t="shared" si="18"/>
        <v>0</v>
      </c>
      <c r="AC203" s="13" t="b">
        <f t="shared" si="19"/>
        <v>1</v>
      </c>
    </row>
    <row r="204" spans="1:29">
      <c r="A204" s="10" t="s">
        <v>152</v>
      </c>
      <c r="B204" s="12">
        <v>45830</v>
      </c>
      <c r="C204" s="10" t="s">
        <v>19</v>
      </c>
      <c r="D204" s="10" t="s">
        <v>226</v>
      </c>
      <c r="E204" s="10" t="s">
        <v>12</v>
      </c>
      <c r="F204" s="13">
        <v>6.32</v>
      </c>
      <c r="G204" s="13">
        <v>0.9</v>
      </c>
      <c r="H204" s="13">
        <f t="shared" si="15"/>
        <v>7.2200000000000006</v>
      </c>
      <c r="I204" s="13">
        <f t="shared" si="16"/>
        <v>4.0600000000000005</v>
      </c>
      <c r="J204" s="13"/>
      <c r="K204" s="13"/>
      <c r="L204" s="13"/>
      <c r="M204" s="13"/>
      <c r="N204" s="13"/>
      <c r="O204" s="13"/>
      <c r="P204" s="13"/>
      <c r="Q204" s="13"/>
      <c r="R204" s="13"/>
      <c r="S204" s="13"/>
      <c r="T204" s="13"/>
      <c r="U204" s="13"/>
      <c r="V204" s="13"/>
      <c r="W204" s="13"/>
      <c r="X204" s="13"/>
      <c r="Y204" s="13"/>
      <c r="Z204" s="13" t="str">
        <f t="shared" si="17"/>
        <v>low</v>
      </c>
      <c r="AA204" s="13" t="str" cm="1">
        <f t="array" ref="AA204">_xlfn.IFS(H204&gt;30,"high",H204&gt;20,"medium",H204&lt;=20,"low")</f>
        <v>low</v>
      </c>
      <c r="AB204" s="13" t="b">
        <f t="shared" si="18"/>
        <v>0</v>
      </c>
      <c r="AC204" s="13" t="b">
        <f t="shared" si="19"/>
        <v>1</v>
      </c>
    </row>
    <row r="205" spans="1:29">
      <c r="A205" s="10" t="s">
        <v>298</v>
      </c>
      <c r="B205" s="12">
        <v>46113</v>
      </c>
      <c r="C205" s="10" t="s">
        <v>19</v>
      </c>
      <c r="D205" s="10" t="s">
        <v>226</v>
      </c>
      <c r="E205" s="10" t="s">
        <v>12</v>
      </c>
      <c r="F205" s="13">
        <v>19.41</v>
      </c>
      <c r="G205" s="13">
        <v>2.81</v>
      </c>
      <c r="H205" s="13">
        <f t="shared" si="15"/>
        <v>22.22</v>
      </c>
      <c r="I205" s="13">
        <f t="shared" si="16"/>
        <v>12.514999999999999</v>
      </c>
      <c r="J205" s="13"/>
      <c r="K205" s="13"/>
      <c r="L205" s="13"/>
      <c r="M205" s="13"/>
      <c r="N205" s="13"/>
      <c r="O205" s="13"/>
      <c r="P205" s="13"/>
      <c r="Q205" s="13"/>
      <c r="R205" s="13"/>
      <c r="S205" s="13"/>
      <c r="T205" s="13"/>
      <c r="U205" s="13"/>
      <c r="V205" s="13"/>
      <c r="W205" s="13"/>
      <c r="X205" s="13"/>
      <c r="Y205" s="13"/>
      <c r="Z205" s="13" t="str">
        <f t="shared" si="17"/>
        <v>low</v>
      </c>
      <c r="AA205" s="13" t="str" cm="1">
        <f t="array" ref="AA205">_xlfn.IFS(H205&gt;30,"high",H205&gt;20,"medium",H205&lt;=20,"low")</f>
        <v>medium</v>
      </c>
      <c r="AB205" s="13" t="b">
        <f t="shared" si="18"/>
        <v>1</v>
      </c>
      <c r="AC205" s="13" t="b">
        <f t="shared" si="19"/>
        <v>1</v>
      </c>
    </row>
    <row r="206" spans="1:29">
      <c r="A206" s="10" t="s">
        <v>299</v>
      </c>
      <c r="B206" s="12">
        <v>45690</v>
      </c>
      <c r="C206" s="10" t="s">
        <v>5</v>
      </c>
      <c r="D206" s="10" t="s">
        <v>226</v>
      </c>
      <c r="E206" s="10" t="s">
        <v>12</v>
      </c>
      <c r="F206" s="13">
        <v>2.3199999999999998</v>
      </c>
      <c r="G206" s="13">
        <v>7.45</v>
      </c>
      <c r="H206" s="13">
        <f t="shared" si="15"/>
        <v>9.77</v>
      </c>
      <c r="I206" s="13">
        <f t="shared" si="16"/>
        <v>8.61</v>
      </c>
      <c r="J206" s="13"/>
      <c r="K206" s="13"/>
      <c r="L206" s="13"/>
      <c r="M206" s="13"/>
      <c r="N206" s="13"/>
      <c r="O206" s="13"/>
      <c r="P206" s="13"/>
      <c r="Q206" s="13"/>
      <c r="R206" s="13"/>
      <c r="S206" s="13"/>
      <c r="T206" s="13"/>
      <c r="U206" s="13"/>
      <c r="V206" s="13"/>
      <c r="W206" s="13"/>
      <c r="X206" s="13"/>
      <c r="Y206" s="13"/>
      <c r="Z206" s="13" t="str">
        <f t="shared" si="17"/>
        <v>low</v>
      </c>
      <c r="AA206" s="13" t="str" cm="1">
        <f t="array" ref="AA206">_xlfn.IFS(H206&gt;30,"high",H206&gt;20,"medium",H206&lt;=20,"low")</f>
        <v>low</v>
      </c>
      <c r="AB206" s="13" t="b">
        <f t="shared" si="18"/>
        <v>0</v>
      </c>
      <c r="AC206" s="13" t="b">
        <f t="shared" si="19"/>
        <v>1</v>
      </c>
    </row>
    <row r="207" spans="1:29">
      <c r="A207" s="10" t="s">
        <v>153</v>
      </c>
      <c r="B207" s="12">
        <v>45709</v>
      </c>
      <c r="C207" s="10" t="s">
        <v>19</v>
      </c>
      <c r="D207" s="10" t="s">
        <v>226</v>
      </c>
      <c r="E207" s="10" t="s">
        <v>15</v>
      </c>
      <c r="F207" s="13">
        <v>17.739999999999998</v>
      </c>
      <c r="G207" s="13">
        <v>1.71</v>
      </c>
      <c r="H207" s="13">
        <f t="shared" si="15"/>
        <v>19.45</v>
      </c>
      <c r="I207" s="13">
        <f t="shared" si="16"/>
        <v>10.58</v>
      </c>
      <c r="J207" s="13"/>
      <c r="K207" s="13"/>
      <c r="L207" s="13"/>
      <c r="M207" s="13"/>
      <c r="N207" s="13"/>
      <c r="O207" s="13"/>
      <c r="P207" s="13"/>
      <c r="Q207" s="13"/>
      <c r="R207" s="13"/>
      <c r="S207" s="13"/>
      <c r="T207" s="13"/>
      <c r="U207" s="13"/>
      <c r="V207" s="13"/>
      <c r="W207" s="13"/>
      <c r="X207" s="13"/>
      <c r="Y207" s="13"/>
      <c r="Z207" s="13" t="str">
        <f t="shared" si="17"/>
        <v>low</v>
      </c>
      <c r="AA207" s="13" t="str" cm="1">
        <f t="array" ref="AA207">_xlfn.IFS(H207&gt;30,"high",H207&gt;20,"medium",H207&lt;=20,"low")</f>
        <v>low</v>
      </c>
      <c r="AB207" s="13" t="b">
        <f t="shared" si="18"/>
        <v>1</v>
      </c>
      <c r="AC207" s="13" t="b">
        <f t="shared" si="19"/>
        <v>1</v>
      </c>
    </row>
    <row r="208" spans="1:29">
      <c r="A208" s="10" t="s">
        <v>154</v>
      </c>
      <c r="B208" s="12">
        <v>45658</v>
      </c>
      <c r="C208" s="10" t="s">
        <v>5</v>
      </c>
      <c r="D208" s="10" t="s">
        <v>224</v>
      </c>
      <c r="E208" s="10" t="s">
        <v>12</v>
      </c>
      <c r="F208" s="13">
        <v>23.68</v>
      </c>
      <c r="G208" s="13">
        <v>5.05</v>
      </c>
      <c r="H208" s="13">
        <f t="shared" si="15"/>
        <v>28.73</v>
      </c>
      <c r="I208" s="13">
        <f t="shared" si="16"/>
        <v>16.89</v>
      </c>
      <c r="J208" s="13"/>
      <c r="K208" s="13"/>
      <c r="L208" s="13"/>
      <c r="M208" s="13"/>
      <c r="N208" s="13"/>
      <c r="O208" s="13"/>
      <c r="P208" s="13"/>
      <c r="Q208" s="13"/>
      <c r="R208" s="13"/>
      <c r="S208" s="13"/>
      <c r="T208" s="13"/>
      <c r="U208" s="13"/>
      <c r="V208" s="13"/>
      <c r="W208" s="13"/>
      <c r="X208" s="13"/>
      <c r="Y208" s="13"/>
      <c r="Z208" s="13" t="str">
        <f t="shared" si="17"/>
        <v>low</v>
      </c>
      <c r="AA208" s="13" t="str" cm="1">
        <f t="array" ref="AA208">_xlfn.IFS(H208&gt;30,"high",H208&gt;20,"medium",H208&lt;=20,"low")</f>
        <v>medium</v>
      </c>
      <c r="AB208" s="13" t="b">
        <f t="shared" si="18"/>
        <v>1</v>
      </c>
      <c r="AC208" s="13" t="b">
        <f t="shared" si="19"/>
        <v>1</v>
      </c>
    </row>
    <row r="209" spans="1:29">
      <c r="A209" s="10" t="s">
        <v>155</v>
      </c>
      <c r="B209" s="12">
        <v>45949</v>
      </c>
      <c r="C209" s="10" t="s">
        <v>5</v>
      </c>
      <c r="D209" s="10" t="s">
        <v>6</v>
      </c>
      <c r="E209" s="10" t="s">
        <v>15</v>
      </c>
      <c r="F209" s="13">
        <v>35.46</v>
      </c>
      <c r="G209" s="13">
        <v>1.64</v>
      </c>
      <c r="H209" s="13">
        <f t="shared" si="15"/>
        <v>37.1</v>
      </c>
      <c r="I209" s="13">
        <f t="shared" si="16"/>
        <v>19.37</v>
      </c>
      <c r="J209" s="13"/>
      <c r="K209" s="13"/>
      <c r="L209" s="13"/>
      <c r="M209" s="13"/>
      <c r="N209" s="13"/>
      <c r="O209" s="13"/>
      <c r="P209" s="13"/>
      <c r="Q209" s="13"/>
      <c r="R209" s="13"/>
      <c r="S209" s="13"/>
      <c r="T209" s="13"/>
      <c r="U209" s="13"/>
      <c r="V209" s="13"/>
      <c r="W209" s="13"/>
      <c r="X209" s="13"/>
      <c r="Y209" s="13"/>
      <c r="Z209" s="13" t="str">
        <f t="shared" si="17"/>
        <v>high</v>
      </c>
      <c r="AA209" s="13" t="str" cm="1">
        <f t="array" ref="AA209">_xlfn.IFS(H209&gt;30,"high",H209&gt;20,"medium",H209&lt;=20,"low")</f>
        <v>high</v>
      </c>
      <c r="AB209" s="13" t="b">
        <f t="shared" si="18"/>
        <v>1</v>
      </c>
      <c r="AC209" s="13" t="b">
        <f t="shared" si="19"/>
        <v>1</v>
      </c>
    </row>
    <row r="210" spans="1:29">
      <c r="A210" s="10" t="s">
        <v>156</v>
      </c>
      <c r="B210" s="12">
        <v>46210</v>
      </c>
      <c r="C210" s="10" t="s">
        <v>7</v>
      </c>
      <c r="D210" s="10" t="s">
        <v>224</v>
      </c>
      <c r="E210" s="10" t="s">
        <v>6</v>
      </c>
      <c r="F210" s="13">
        <v>13.45</v>
      </c>
      <c r="G210" s="13">
        <v>3.13</v>
      </c>
      <c r="H210" s="13">
        <f t="shared" si="15"/>
        <v>16.579999999999998</v>
      </c>
      <c r="I210" s="13">
        <f t="shared" si="16"/>
        <v>9.8549999999999986</v>
      </c>
      <c r="J210" s="13"/>
      <c r="K210" s="13"/>
      <c r="L210" s="13"/>
      <c r="M210" s="13"/>
      <c r="N210" s="13"/>
      <c r="O210" s="13"/>
      <c r="P210" s="13"/>
      <c r="Q210" s="13"/>
      <c r="R210" s="13"/>
      <c r="S210" s="13"/>
      <c r="T210" s="13"/>
      <c r="U210" s="13"/>
      <c r="V210" s="13"/>
      <c r="W210" s="13"/>
      <c r="X210" s="13"/>
      <c r="Y210" s="13"/>
      <c r="Z210" s="13" t="str">
        <f t="shared" si="17"/>
        <v>low</v>
      </c>
      <c r="AA210" s="13" t="str" cm="1">
        <f t="array" ref="AA210">_xlfn.IFS(H210&gt;30,"high",H210&gt;20,"medium",H210&lt;=20,"low")</f>
        <v>low</v>
      </c>
      <c r="AB210" s="13" t="b">
        <f t="shared" si="18"/>
        <v>0</v>
      </c>
      <c r="AC210" s="13" t="b">
        <f t="shared" si="19"/>
        <v>1</v>
      </c>
    </row>
    <row r="211" spans="1:29">
      <c r="A211" s="10" t="s">
        <v>157</v>
      </c>
      <c r="B211" s="12">
        <v>45702</v>
      </c>
      <c r="C211" s="10" t="s">
        <v>19</v>
      </c>
      <c r="D211" s="10" t="s">
        <v>224</v>
      </c>
      <c r="E211" s="10" t="s">
        <v>6</v>
      </c>
      <c r="F211" s="13">
        <v>22.84</v>
      </c>
      <c r="G211" s="13">
        <v>12.64</v>
      </c>
      <c r="H211" s="13">
        <f t="shared" si="15"/>
        <v>35.480000000000004</v>
      </c>
      <c r="I211" s="13">
        <f t="shared" si="16"/>
        <v>24.060000000000002</v>
      </c>
      <c r="J211" s="13"/>
      <c r="K211" s="13"/>
      <c r="L211" s="13"/>
      <c r="M211" s="13"/>
      <c r="N211" s="13"/>
      <c r="O211" s="13"/>
      <c r="P211" s="13"/>
      <c r="Q211" s="13"/>
      <c r="R211" s="13"/>
      <c r="S211" s="13"/>
      <c r="T211" s="13"/>
      <c r="U211" s="13"/>
      <c r="V211" s="13"/>
      <c r="W211" s="13"/>
      <c r="X211" s="13"/>
      <c r="Y211" s="13"/>
      <c r="Z211" s="13" t="str">
        <f t="shared" si="17"/>
        <v>high</v>
      </c>
      <c r="AA211" s="13" t="str" cm="1">
        <f t="array" ref="AA211">_xlfn.IFS(H211&gt;30,"high",H211&gt;20,"medium",H211&lt;=20,"low")</f>
        <v>high</v>
      </c>
      <c r="AB211" s="13" t="b">
        <f t="shared" si="18"/>
        <v>1</v>
      </c>
      <c r="AC211" s="13" t="b">
        <f t="shared" si="19"/>
        <v>1</v>
      </c>
    </row>
    <row r="212" spans="1:29">
      <c r="A212" s="10" t="s">
        <v>158</v>
      </c>
      <c r="B212" s="12">
        <v>45785</v>
      </c>
      <c r="C212" s="10" t="s">
        <v>14</v>
      </c>
      <c r="D212" s="10" t="s">
        <v>6</v>
      </c>
      <c r="E212" s="10" t="s">
        <v>12</v>
      </c>
      <c r="F212" s="13">
        <v>24.38</v>
      </c>
      <c r="G212" s="13">
        <v>12.56</v>
      </c>
      <c r="H212" s="13">
        <f t="shared" si="15"/>
        <v>36.94</v>
      </c>
      <c r="I212" s="13">
        <f t="shared" si="16"/>
        <v>24.75</v>
      </c>
      <c r="J212" s="13"/>
      <c r="K212" s="13"/>
      <c r="L212" s="13"/>
      <c r="M212" s="13"/>
      <c r="N212" s="13"/>
      <c r="O212" s="13"/>
      <c r="P212" s="13"/>
      <c r="Q212" s="13"/>
      <c r="R212" s="13"/>
      <c r="S212" s="13"/>
      <c r="T212" s="13"/>
      <c r="U212" s="13"/>
      <c r="V212" s="13"/>
      <c r="W212" s="13"/>
      <c r="X212" s="13"/>
      <c r="Y212" s="13"/>
      <c r="Z212" s="13" t="str">
        <f t="shared" si="17"/>
        <v>high</v>
      </c>
      <c r="AA212" s="13" t="str" cm="1">
        <f t="array" ref="AA212">_xlfn.IFS(H212&gt;30,"high",H212&gt;20,"medium",H212&lt;=20,"low")</f>
        <v>high</v>
      </c>
      <c r="AB212" s="13" t="b">
        <f t="shared" si="18"/>
        <v>1</v>
      </c>
      <c r="AC212" s="13" t="b">
        <f t="shared" si="19"/>
        <v>1</v>
      </c>
    </row>
    <row r="213" spans="1:29">
      <c r="A213" s="10" t="s">
        <v>300</v>
      </c>
      <c r="B213" s="12">
        <v>46084</v>
      </c>
      <c r="C213" s="10" t="s">
        <v>5</v>
      </c>
      <c r="D213" s="10" t="s">
        <v>226</v>
      </c>
      <c r="E213" s="10" t="s">
        <v>8</v>
      </c>
      <c r="F213" s="13">
        <v>63.52</v>
      </c>
      <c r="G213" s="13">
        <v>6.72</v>
      </c>
      <c r="H213" s="13">
        <f t="shared" si="15"/>
        <v>70.240000000000009</v>
      </c>
      <c r="I213" s="13">
        <f t="shared" si="16"/>
        <v>38.480000000000004</v>
      </c>
      <c r="J213" s="13"/>
      <c r="K213" s="13"/>
      <c r="L213" s="13"/>
      <c r="M213" s="13"/>
      <c r="N213" s="13"/>
      <c r="O213" s="13"/>
      <c r="P213" s="13"/>
      <c r="Q213" s="13"/>
      <c r="R213" s="13"/>
      <c r="S213" s="13"/>
      <c r="T213" s="13"/>
      <c r="U213" s="13"/>
      <c r="V213" s="13"/>
      <c r="W213" s="13"/>
      <c r="X213" s="13"/>
      <c r="Y213" s="13"/>
      <c r="Z213" s="13" t="str">
        <f t="shared" si="17"/>
        <v>high</v>
      </c>
      <c r="AA213" s="13" t="str" cm="1">
        <f t="array" ref="AA213">_xlfn.IFS(H213&gt;30,"high",H213&gt;20,"medium",H213&lt;=20,"low")</f>
        <v>high</v>
      </c>
      <c r="AB213" s="13" t="b">
        <f t="shared" si="18"/>
        <v>0</v>
      </c>
      <c r="AC213" s="13" t="b">
        <f t="shared" si="19"/>
        <v>1</v>
      </c>
    </row>
    <row r="214" spans="1:29">
      <c r="A214" s="10" t="s">
        <v>159</v>
      </c>
      <c r="B214" s="12">
        <v>46207</v>
      </c>
      <c r="C214" s="10" t="s">
        <v>19</v>
      </c>
      <c r="D214" s="10" t="s">
        <v>226</v>
      </c>
      <c r="E214" s="10" t="s">
        <v>8</v>
      </c>
      <c r="F214" s="13">
        <v>36.04</v>
      </c>
      <c r="G214" s="13">
        <v>5.29</v>
      </c>
      <c r="H214" s="13">
        <f t="shared" si="15"/>
        <v>41.33</v>
      </c>
      <c r="I214" s="13">
        <f t="shared" si="16"/>
        <v>23.31</v>
      </c>
      <c r="J214" s="13"/>
      <c r="K214" s="13"/>
      <c r="L214" s="13"/>
      <c r="M214" s="13"/>
      <c r="N214" s="13"/>
      <c r="O214" s="13"/>
      <c r="P214" s="13"/>
      <c r="Q214" s="13"/>
      <c r="R214" s="13"/>
      <c r="S214" s="13"/>
      <c r="T214" s="13"/>
      <c r="U214" s="13"/>
      <c r="V214" s="13"/>
      <c r="W214" s="13"/>
      <c r="X214" s="13"/>
      <c r="Y214" s="13"/>
      <c r="Z214" s="13" t="str">
        <f t="shared" si="17"/>
        <v>high</v>
      </c>
      <c r="AA214" s="13" t="str" cm="1">
        <f t="array" ref="AA214">_xlfn.IFS(H214&gt;30,"high",H214&gt;20,"medium",H214&lt;=20,"low")</f>
        <v>high</v>
      </c>
      <c r="AB214" s="13" t="b">
        <f t="shared" si="18"/>
        <v>1</v>
      </c>
      <c r="AC214" s="13" t="b">
        <f t="shared" si="19"/>
        <v>1</v>
      </c>
    </row>
    <row r="215" spans="1:29">
      <c r="A215" s="10" t="s">
        <v>160</v>
      </c>
      <c r="B215" s="12">
        <v>46117</v>
      </c>
      <c r="C215" s="10" t="s">
        <v>9</v>
      </c>
      <c r="D215" s="10" t="s">
        <v>6</v>
      </c>
      <c r="E215" s="10" t="s">
        <v>6</v>
      </c>
      <c r="F215" s="13">
        <v>27.05</v>
      </c>
      <c r="G215" s="13">
        <v>1.01</v>
      </c>
      <c r="H215" s="13">
        <f t="shared" si="15"/>
        <v>28.060000000000002</v>
      </c>
      <c r="I215" s="13">
        <f t="shared" si="16"/>
        <v>14.535000000000002</v>
      </c>
      <c r="J215" s="13"/>
      <c r="K215" s="13"/>
      <c r="L215" s="13"/>
      <c r="M215" s="13"/>
      <c r="N215" s="13"/>
      <c r="O215" s="13"/>
      <c r="P215" s="13"/>
      <c r="Q215" s="13"/>
      <c r="R215" s="13"/>
      <c r="S215" s="13"/>
      <c r="T215" s="13"/>
      <c r="U215" s="13"/>
      <c r="V215" s="13"/>
      <c r="W215" s="13"/>
      <c r="X215" s="13"/>
      <c r="Y215" s="13"/>
      <c r="Z215" s="13" t="str">
        <f t="shared" si="17"/>
        <v>low</v>
      </c>
      <c r="AA215" s="13" t="str" cm="1">
        <f t="array" ref="AA215">_xlfn.IFS(H215&gt;30,"high",H215&gt;20,"medium",H215&lt;=20,"low")</f>
        <v>medium</v>
      </c>
      <c r="AB215" s="13" t="b">
        <f t="shared" si="18"/>
        <v>1</v>
      </c>
      <c r="AC215" s="13" t="b">
        <f t="shared" si="19"/>
        <v>1</v>
      </c>
    </row>
    <row r="216" spans="1:29">
      <c r="A216" s="10" t="s">
        <v>301</v>
      </c>
      <c r="B216" s="12">
        <v>45862</v>
      </c>
      <c r="C216" s="10" t="s">
        <v>14</v>
      </c>
      <c r="D216" s="10" t="s">
        <v>6</v>
      </c>
      <c r="E216" s="10" t="s">
        <v>12</v>
      </c>
      <c r="F216" s="13">
        <v>21.11</v>
      </c>
      <c r="G216" s="13">
        <v>7.04</v>
      </c>
      <c r="H216" s="13">
        <f t="shared" si="15"/>
        <v>28.15</v>
      </c>
      <c r="I216" s="13">
        <f t="shared" si="16"/>
        <v>17.594999999999999</v>
      </c>
      <c r="J216" s="13"/>
      <c r="K216" s="13"/>
      <c r="L216" s="13"/>
      <c r="M216" s="13"/>
      <c r="N216" s="13"/>
      <c r="O216" s="13"/>
      <c r="P216" s="13"/>
      <c r="Q216" s="13"/>
      <c r="R216" s="13"/>
      <c r="S216" s="13"/>
      <c r="T216" s="13"/>
      <c r="U216" s="13"/>
      <c r="V216" s="13"/>
      <c r="W216" s="13"/>
      <c r="X216" s="13"/>
      <c r="Y216" s="13"/>
      <c r="Z216" s="13" t="str">
        <f t="shared" si="17"/>
        <v>low</v>
      </c>
      <c r="AA216" s="13" t="str" cm="1">
        <f t="array" ref="AA216">_xlfn.IFS(H216&gt;30,"high",H216&gt;20,"medium",H216&lt;=20,"low")</f>
        <v>medium</v>
      </c>
      <c r="AB216" s="13" t="b">
        <f t="shared" si="18"/>
        <v>1</v>
      </c>
      <c r="AC216" s="13" t="b">
        <f t="shared" si="19"/>
        <v>1</v>
      </c>
    </row>
    <row r="217" spans="1:29">
      <c r="A217" s="10" t="s">
        <v>161</v>
      </c>
      <c r="B217" s="12">
        <v>45969</v>
      </c>
      <c r="C217" s="10" t="s">
        <v>21</v>
      </c>
      <c r="D217" s="10" t="s">
        <v>226</v>
      </c>
      <c r="E217" s="10" t="s">
        <v>8</v>
      </c>
      <c r="F217" s="13">
        <v>67.5</v>
      </c>
      <c r="G217" s="13">
        <v>8</v>
      </c>
      <c r="H217" s="13">
        <f t="shared" si="15"/>
        <v>75.5</v>
      </c>
      <c r="I217" s="13">
        <f t="shared" si="16"/>
        <v>41.75</v>
      </c>
      <c r="J217" s="13"/>
      <c r="K217" s="13"/>
      <c r="L217" s="13"/>
      <c r="M217" s="13"/>
      <c r="N217" s="13"/>
      <c r="O217" s="13"/>
      <c r="P217" s="13"/>
      <c r="Q217" s="13"/>
      <c r="R217" s="13"/>
      <c r="S217" s="13"/>
      <c r="T217" s="13"/>
      <c r="U217" s="13"/>
      <c r="V217" s="13"/>
      <c r="W217" s="13"/>
      <c r="X217" s="13"/>
      <c r="Y217" s="13"/>
      <c r="Z217" s="13" t="str">
        <f t="shared" si="17"/>
        <v>high</v>
      </c>
      <c r="AA217" s="13" t="str" cm="1">
        <f t="array" ref="AA217">_xlfn.IFS(H217&gt;30,"high",H217&gt;20,"medium",H217&lt;=20,"low")</f>
        <v>high</v>
      </c>
      <c r="AB217" s="13" t="b">
        <f t="shared" si="18"/>
        <v>0</v>
      </c>
      <c r="AC217" s="13" t="b">
        <f t="shared" si="19"/>
        <v>1</v>
      </c>
    </row>
    <row r="218" spans="1:29">
      <c r="A218" s="10" t="s">
        <v>162</v>
      </c>
      <c r="B218" s="12">
        <v>45748</v>
      </c>
      <c r="C218" s="10" t="s">
        <v>7</v>
      </c>
      <c r="D218" s="10" t="s">
        <v>226</v>
      </c>
      <c r="E218" s="10" t="s">
        <v>6</v>
      </c>
      <c r="F218" s="13">
        <v>15.92</v>
      </c>
      <c r="G218" s="13">
        <v>5.24</v>
      </c>
      <c r="H218" s="13">
        <f t="shared" si="15"/>
        <v>21.16</v>
      </c>
      <c r="I218" s="13">
        <f t="shared" si="16"/>
        <v>13.2</v>
      </c>
      <c r="J218" s="13"/>
      <c r="K218" s="13"/>
      <c r="L218" s="13"/>
      <c r="M218" s="13"/>
      <c r="N218" s="13"/>
      <c r="O218" s="13"/>
      <c r="P218" s="13"/>
      <c r="Q218" s="13"/>
      <c r="R218" s="13"/>
      <c r="S218" s="13"/>
      <c r="T218" s="13"/>
      <c r="U218" s="13"/>
      <c r="V218" s="13"/>
      <c r="W218" s="13"/>
      <c r="X218" s="13"/>
      <c r="Y218" s="13"/>
      <c r="Z218" s="13" t="str">
        <f t="shared" si="17"/>
        <v>low</v>
      </c>
      <c r="AA218" s="13" t="str" cm="1">
        <f t="array" ref="AA218">_xlfn.IFS(H218&gt;30,"high",H218&gt;20,"medium",H218&lt;=20,"low")</f>
        <v>medium</v>
      </c>
      <c r="AB218" s="13" t="b">
        <f t="shared" si="18"/>
        <v>1</v>
      </c>
      <c r="AC218" s="13" t="b">
        <f t="shared" si="19"/>
        <v>1</v>
      </c>
    </row>
    <row r="219" spans="1:29">
      <c r="A219" s="10" t="s">
        <v>163</v>
      </c>
      <c r="B219" s="12">
        <v>45985</v>
      </c>
      <c r="C219" s="10" t="s">
        <v>19</v>
      </c>
      <c r="D219" s="10" t="s">
        <v>224</v>
      </c>
      <c r="E219" s="10" t="s">
        <v>302</v>
      </c>
      <c r="F219" s="13">
        <v>8.94</v>
      </c>
      <c r="G219" s="13">
        <v>10.85</v>
      </c>
      <c r="H219" s="13">
        <f t="shared" si="15"/>
        <v>19.79</v>
      </c>
      <c r="I219" s="13">
        <f t="shared" si="16"/>
        <v>15.32</v>
      </c>
      <c r="J219" s="13"/>
      <c r="K219" s="13"/>
      <c r="L219" s="13"/>
      <c r="M219" s="13"/>
      <c r="N219" s="13"/>
      <c r="O219" s="13"/>
      <c r="P219" s="13"/>
      <c r="Q219" s="13"/>
      <c r="R219" s="13"/>
      <c r="S219" s="13"/>
      <c r="T219" s="13"/>
      <c r="U219" s="13"/>
      <c r="V219" s="13"/>
      <c r="W219" s="13"/>
      <c r="X219" s="13"/>
      <c r="Y219" s="13"/>
      <c r="Z219" s="13" t="str">
        <f t="shared" si="17"/>
        <v>low</v>
      </c>
      <c r="AA219" s="13" t="str" cm="1">
        <f t="array" ref="AA219">_xlfn.IFS(H219&gt;30,"high",H219&gt;20,"medium",H219&lt;=20,"low")</f>
        <v>low</v>
      </c>
      <c r="AB219" s="13" t="b">
        <f t="shared" si="18"/>
        <v>1</v>
      </c>
      <c r="AC219" s="13" t="b">
        <f t="shared" si="19"/>
        <v>1</v>
      </c>
    </row>
    <row r="220" spans="1:29">
      <c r="A220" s="10" t="s">
        <v>164</v>
      </c>
      <c r="B220" s="12">
        <v>45756</v>
      </c>
      <c r="C220" s="10" t="s">
        <v>9</v>
      </c>
      <c r="D220" s="10" t="s">
        <v>6</v>
      </c>
      <c r="E220" s="10" t="s">
        <v>12</v>
      </c>
      <c r="F220" s="13">
        <v>23.37</v>
      </c>
      <c r="G220" s="13">
        <v>5.9</v>
      </c>
      <c r="H220" s="13">
        <f t="shared" si="15"/>
        <v>29.270000000000003</v>
      </c>
      <c r="I220" s="13">
        <f t="shared" si="16"/>
        <v>17.585000000000001</v>
      </c>
      <c r="J220" s="13"/>
      <c r="K220" s="13"/>
      <c r="L220" s="13"/>
      <c r="M220" s="13"/>
      <c r="N220" s="13"/>
      <c r="O220" s="13"/>
      <c r="P220" s="13"/>
      <c r="Q220" s="13"/>
      <c r="R220" s="13"/>
      <c r="S220" s="13"/>
      <c r="T220" s="13"/>
      <c r="U220" s="13"/>
      <c r="V220" s="13"/>
      <c r="W220" s="13"/>
      <c r="X220" s="13"/>
      <c r="Y220" s="13"/>
      <c r="Z220" s="13" t="str">
        <f t="shared" si="17"/>
        <v>low</v>
      </c>
      <c r="AA220" s="13" t="str" cm="1">
        <f t="array" ref="AA220">_xlfn.IFS(H220&gt;30,"high",H220&gt;20,"medium",H220&lt;=20,"low")</f>
        <v>medium</v>
      </c>
      <c r="AB220" s="13" t="b">
        <f t="shared" si="18"/>
        <v>1</v>
      </c>
      <c r="AC220" s="13" t="b">
        <f t="shared" si="19"/>
        <v>1</v>
      </c>
    </row>
    <row r="221" spans="1:29">
      <c r="A221" s="10" t="s">
        <v>165</v>
      </c>
      <c r="B221" s="12">
        <v>46021</v>
      </c>
      <c r="C221" s="10" t="s">
        <v>14</v>
      </c>
      <c r="D221" s="10" t="s">
        <v>224</v>
      </c>
      <c r="E221" s="10" t="s">
        <v>8</v>
      </c>
      <c r="F221" s="13">
        <v>7.2</v>
      </c>
      <c r="G221" s="13">
        <v>8.2200000000000006</v>
      </c>
      <c r="H221" s="13">
        <f t="shared" si="15"/>
        <v>15.420000000000002</v>
      </c>
      <c r="I221" s="13">
        <f t="shared" si="16"/>
        <v>11.82</v>
      </c>
      <c r="J221" s="13"/>
      <c r="K221" s="13"/>
      <c r="L221" s="13"/>
      <c r="M221" s="13"/>
      <c r="N221" s="13"/>
      <c r="O221" s="13"/>
      <c r="P221" s="13"/>
      <c r="Q221" s="13"/>
      <c r="R221" s="13"/>
      <c r="S221" s="13"/>
      <c r="T221" s="13"/>
      <c r="U221" s="13"/>
      <c r="V221" s="13"/>
      <c r="W221" s="13"/>
      <c r="X221" s="13"/>
      <c r="Y221" s="13"/>
      <c r="Z221" s="13" t="str">
        <f t="shared" si="17"/>
        <v>low</v>
      </c>
      <c r="AA221" s="13" t="str" cm="1">
        <f t="array" ref="AA221">_xlfn.IFS(H221&gt;30,"high",H221&gt;20,"medium",H221&lt;=20,"low")</f>
        <v>low</v>
      </c>
      <c r="AB221" s="13" t="b">
        <f t="shared" si="18"/>
        <v>1</v>
      </c>
      <c r="AC221" s="13" t="b">
        <f t="shared" si="19"/>
        <v>1</v>
      </c>
    </row>
    <row r="222" spans="1:29">
      <c r="A222" s="10" t="s">
        <v>166</v>
      </c>
      <c r="B222" s="12">
        <v>45786</v>
      </c>
      <c r="C222" s="10" t="s">
        <v>19</v>
      </c>
      <c r="D222" s="10" t="s">
        <v>226</v>
      </c>
      <c r="E222" s="10" t="s">
        <v>6</v>
      </c>
      <c r="F222" s="13">
        <v>39.01</v>
      </c>
      <c r="G222" s="13">
        <v>0.85</v>
      </c>
      <c r="H222" s="13">
        <f t="shared" si="15"/>
        <v>39.86</v>
      </c>
      <c r="I222" s="13">
        <f t="shared" si="16"/>
        <v>20.355</v>
      </c>
      <c r="J222" s="13"/>
      <c r="K222" s="13"/>
      <c r="L222" s="13"/>
      <c r="M222" s="13"/>
      <c r="N222" s="13"/>
      <c r="O222" s="13"/>
      <c r="P222" s="13"/>
      <c r="Q222" s="13"/>
      <c r="R222" s="13"/>
      <c r="S222" s="13"/>
      <c r="T222" s="13"/>
      <c r="U222" s="13"/>
      <c r="V222" s="13"/>
      <c r="W222" s="13"/>
      <c r="X222" s="13"/>
      <c r="Y222" s="13"/>
      <c r="Z222" s="13" t="str">
        <f t="shared" si="17"/>
        <v>high</v>
      </c>
      <c r="AA222" s="13" t="str" cm="1">
        <f t="array" ref="AA222">_xlfn.IFS(H222&gt;30,"high",H222&gt;20,"medium",H222&lt;=20,"low")</f>
        <v>high</v>
      </c>
      <c r="AB222" s="13" t="b">
        <f t="shared" si="18"/>
        <v>1</v>
      </c>
      <c r="AC222" s="13" t="b">
        <f t="shared" si="19"/>
        <v>1</v>
      </c>
    </row>
    <row r="223" spans="1:29">
      <c r="A223" s="10" t="s">
        <v>303</v>
      </c>
      <c r="B223" s="12">
        <v>45870</v>
      </c>
      <c r="C223" s="10" t="s">
        <v>21</v>
      </c>
      <c r="D223" s="10" t="s">
        <v>226</v>
      </c>
      <c r="E223" s="10" t="s">
        <v>6</v>
      </c>
      <c r="F223" s="13">
        <v>7.92</v>
      </c>
      <c r="G223" s="13">
        <v>14.24</v>
      </c>
      <c r="H223" s="13">
        <f t="shared" si="15"/>
        <v>22.16</v>
      </c>
      <c r="I223" s="13">
        <f t="shared" si="16"/>
        <v>18.2</v>
      </c>
      <c r="J223" s="13"/>
      <c r="K223" s="13"/>
      <c r="L223" s="13"/>
      <c r="M223" s="13"/>
      <c r="N223" s="13"/>
      <c r="O223" s="13"/>
      <c r="P223" s="13"/>
      <c r="Q223" s="13"/>
      <c r="R223" s="13"/>
      <c r="S223" s="13"/>
      <c r="T223" s="13"/>
      <c r="U223" s="13"/>
      <c r="V223" s="13"/>
      <c r="W223" s="13"/>
      <c r="X223" s="13"/>
      <c r="Y223" s="13"/>
      <c r="Z223" s="13" t="str">
        <f t="shared" si="17"/>
        <v>low</v>
      </c>
      <c r="AA223" s="13" t="str" cm="1">
        <f t="array" ref="AA223">_xlfn.IFS(H223&gt;30,"high",H223&gt;20,"medium",H223&lt;=20,"low")</f>
        <v>medium</v>
      </c>
      <c r="AB223" s="13" t="b">
        <f t="shared" si="18"/>
        <v>1</v>
      </c>
      <c r="AC223" s="13" t="b">
        <f t="shared" si="19"/>
        <v>1</v>
      </c>
    </row>
    <row r="224" spans="1:29">
      <c r="A224" s="10" t="s">
        <v>167</v>
      </c>
      <c r="B224" s="12">
        <v>46048</v>
      </c>
      <c r="C224" s="10" t="s">
        <v>19</v>
      </c>
      <c r="D224" s="10" t="s">
        <v>226</v>
      </c>
      <c r="E224" s="10" t="s">
        <v>12</v>
      </c>
      <c r="F224" s="13">
        <v>22.25</v>
      </c>
      <c r="G224" s="13">
        <v>7.28</v>
      </c>
      <c r="H224" s="13">
        <f t="shared" si="15"/>
        <v>29.53</v>
      </c>
      <c r="I224" s="13">
        <f t="shared" si="16"/>
        <v>18.405000000000001</v>
      </c>
      <c r="J224" s="13"/>
      <c r="K224" s="13"/>
      <c r="L224" s="13"/>
      <c r="M224" s="13"/>
      <c r="N224" s="13"/>
      <c r="O224" s="13"/>
      <c r="P224" s="13"/>
      <c r="Q224" s="13"/>
      <c r="R224" s="13"/>
      <c r="S224" s="13"/>
      <c r="T224" s="13"/>
      <c r="U224" s="13"/>
      <c r="V224" s="13"/>
      <c r="W224" s="13"/>
      <c r="X224" s="13"/>
      <c r="Y224" s="13"/>
      <c r="Z224" s="13" t="str">
        <f t="shared" si="17"/>
        <v>low</v>
      </c>
      <c r="AA224" s="13" t="str" cm="1">
        <f t="array" ref="AA224">_xlfn.IFS(H224&gt;30,"high",H224&gt;20,"medium",H224&lt;=20,"low")</f>
        <v>medium</v>
      </c>
      <c r="AB224" s="13" t="b">
        <f t="shared" si="18"/>
        <v>1</v>
      </c>
      <c r="AC224" s="13" t="b">
        <f t="shared" si="19"/>
        <v>1</v>
      </c>
    </row>
    <row r="225" spans="1:29">
      <c r="A225" s="10" t="s">
        <v>168</v>
      </c>
      <c r="B225" s="12">
        <v>45928</v>
      </c>
      <c r="C225" s="10" t="s">
        <v>14</v>
      </c>
      <c r="D225" s="10" t="s">
        <v>224</v>
      </c>
      <c r="E225" s="10" t="s">
        <v>8</v>
      </c>
      <c r="F225" s="13">
        <v>88.28</v>
      </c>
      <c r="G225" s="13">
        <v>4.5599999999999996</v>
      </c>
      <c r="H225" s="13">
        <f t="shared" si="15"/>
        <v>92.84</v>
      </c>
      <c r="I225" s="13">
        <f t="shared" si="16"/>
        <v>48.7</v>
      </c>
      <c r="J225" s="13"/>
      <c r="K225" s="13"/>
      <c r="L225" s="13"/>
      <c r="M225" s="13"/>
      <c r="N225" s="13"/>
      <c r="O225" s="13"/>
      <c r="P225" s="13"/>
      <c r="Q225" s="13"/>
      <c r="R225" s="13"/>
      <c r="S225" s="13"/>
      <c r="T225" s="13"/>
      <c r="U225" s="13"/>
      <c r="V225" s="13"/>
      <c r="W225" s="13"/>
      <c r="X225" s="13"/>
      <c r="Y225" s="13"/>
      <c r="Z225" s="13" t="str">
        <f t="shared" si="17"/>
        <v>high</v>
      </c>
      <c r="AA225" s="13" t="str" cm="1">
        <f t="array" ref="AA225">_xlfn.IFS(H225&gt;30,"high",H225&gt;20,"medium",H225&lt;=20,"low")</f>
        <v>high</v>
      </c>
      <c r="AB225" s="13" t="b">
        <f t="shared" si="18"/>
        <v>0</v>
      </c>
      <c r="AC225" s="13" t="b">
        <f t="shared" si="19"/>
        <v>1</v>
      </c>
    </row>
    <row r="226" spans="1:29">
      <c r="A226" s="10" t="s">
        <v>169</v>
      </c>
      <c r="B226" s="12">
        <v>45773</v>
      </c>
      <c r="C226" s="10" t="s">
        <v>7</v>
      </c>
      <c r="D226" s="10" t="s">
        <v>224</v>
      </c>
      <c r="E226" s="10" t="s">
        <v>12</v>
      </c>
      <c r="F226" s="13">
        <v>9.35</v>
      </c>
      <c r="G226" s="13">
        <v>0.92</v>
      </c>
      <c r="H226" s="13">
        <f t="shared" si="15"/>
        <v>10.27</v>
      </c>
      <c r="I226" s="13">
        <f t="shared" si="16"/>
        <v>5.5949999999999998</v>
      </c>
      <c r="J226" s="13"/>
      <c r="K226" s="13"/>
      <c r="L226" s="13"/>
      <c r="M226" s="13"/>
      <c r="N226" s="13"/>
      <c r="O226" s="13"/>
      <c r="P226" s="13"/>
      <c r="Q226" s="13"/>
      <c r="R226" s="13"/>
      <c r="S226" s="13"/>
      <c r="T226" s="13"/>
      <c r="U226" s="13"/>
      <c r="V226" s="13"/>
      <c r="W226" s="13"/>
      <c r="X226" s="13"/>
      <c r="Y226" s="13"/>
      <c r="Z226" s="13" t="str">
        <f t="shared" si="17"/>
        <v>low</v>
      </c>
      <c r="AA226" s="13" t="str" cm="1">
        <f t="array" ref="AA226">_xlfn.IFS(H226&gt;30,"high",H226&gt;20,"medium",H226&lt;=20,"low")</f>
        <v>low</v>
      </c>
      <c r="AB226" s="13" t="b">
        <f t="shared" si="18"/>
        <v>0</v>
      </c>
      <c r="AC226" s="13" t="b">
        <f t="shared" si="19"/>
        <v>1</v>
      </c>
    </row>
    <row r="227" spans="1:29">
      <c r="A227" s="10" t="s">
        <v>304</v>
      </c>
      <c r="B227" s="12">
        <v>46138</v>
      </c>
      <c r="C227" s="10" t="s">
        <v>5</v>
      </c>
      <c r="D227" s="10" t="s">
        <v>226</v>
      </c>
      <c r="E227" s="10" t="s">
        <v>15</v>
      </c>
      <c r="F227" s="13">
        <v>10.02</v>
      </c>
      <c r="G227" s="13">
        <v>3.97</v>
      </c>
      <c r="H227" s="13">
        <f t="shared" si="15"/>
        <v>13.99</v>
      </c>
      <c r="I227" s="13">
        <f t="shared" si="16"/>
        <v>8.98</v>
      </c>
      <c r="J227" s="13"/>
      <c r="K227" s="13"/>
      <c r="L227" s="13"/>
      <c r="M227" s="13"/>
      <c r="N227" s="13"/>
      <c r="O227" s="13"/>
      <c r="P227" s="13"/>
      <c r="Q227" s="13"/>
      <c r="R227" s="13"/>
      <c r="S227" s="13"/>
      <c r="T227" s="13"/>
      <c r="U227" s="13"/>
      <c r="V227" s="13"/>
      <c r="W227" s="13"/>
      <c r="X227" s="13"/>
      <c r="Y227" s="13"/>
      <c r="Z227" s="13" t="str">
        <f t="shared" si="17"/>
        <v>low</v>
      </c>
      <c r="AA227" s="13" t="str" cm="1">
        <f t="array" ref="AA227">_xlfn.IFS(H227&gt;30,"high",H227&gt;20,"medium",H227&lt;=20,"low")</f>
        <v>low</v>
      </c>
      <c r="AB227" s="13" t="b">
        <f t="shared" si="18"/>
        <v>0</v>
      </c>
      <c r="AC227" s="13" t="b">
        <f t="shared" si="19"/>
        <v>1</v>
      </c>
    </row>
    <row r="228" spans="1:29">
      <c r="A228" s="10" t="s">
        <v>170</v>
      </c>
      <c r="B228" s="12">
        <v>46147</v>
      </c>
      <c r="C228" s="10" t="s">
        <v>5</v>
      </c>
      <c r="D228" s="10" t="s">
        <v>226</v>
      </c>
      <c r="E228" s="10" t="s">
        <v>8</v>
      </c>
      <c r="F228" s="13">
        <v>3.84</v>
      </c>
      <c r="G228" s="13">
        <v>6.35</v>
      </c>
      <c r="H228" s="13">
        <f t="shared" si="15"/>
        <v>10.19</v>
      </c>
      <c r="I228" s="13">
        <f t="shared" si="16"/>
        <v>8.27</v>
      </c>
      <c r="J228" s="13"/>
      <c r="K228" s="13"/>
      <c r="L228" s="13"/>
      <c r="M228" s="13"/>
      <c r="N228" s="13"/>
      <c r="O228" s="13"/>
      <c r="P228" s="13"/>
      <c r="Q228" s="13"/>
      <c r="R228" s="13"/>
      <c r="S228" s="13"/>
      <c r="T228" s="13"/>
      <c r="U228" s="13"/>
      <c r="V228" s="13"/>
      <c r="W228" s="13"/>
      <c r="X228" s="13"/>
      <c r="Y228" s="13"/>
      <c r="Z228" s="13" t="str">
        <f t="shared" si="17"/>
        <v>low</v>
      </c>
      <c r="AA228" s="13" t="str" cm="1">
        <f t="array" ref="AA228">_xlfn.IFS(H228&gt;30,"high",H228&gt;20,"medium",H228&lt;=20,"low")</f>
        <v>low</v>
      </c>
      <c r="AB228" s="13" t="b">
        <f t="shared" si="18"/>
        <v>0</v>
      </c>
      <c r="AC228" s="13" t="b">
        <f t="shared" si="19"/>
        <v>1</v>
      </c>
    </row>
    <row r="229" spans="1:29">
      <c r="A229" s="10" t="s">
        <v>171</v>
      </c>
      <c r="B229" s="12">
        <v>45794</v>
      </c>
      <c r="C229" s="10" t="s">
        <v>7</v>
      </c>
      <c r="D229" s="10" t="s">
        <v>226</v>
      </c>
      <c r="E229" s="10" t="s">
        <v>8</v>
      </c>
      <c r="F229" s="13">
        <v>23.89</v>
      </c>
      <c r="G229" s="13">
        <v>3.55</v>
      </c>
      <c r="H229" s="13">
        <f t="shared" si="15"/>
        <v>27.44</v>
      </c>
      <c r="I229" s="13">
        <f t="shared" si="16"/>
        <v>15.495000000000001</v>
      </c>
      <c r="J229" s="13"/>
      <c r="K229" s="13"/>
      <c r="L229" s="13"/>
      <c r="M229" s="13"/>
      <c r="N229" s="13"/>
      <c r="O229" s="13"/>
      <c r="P229" s="13"/>
      <c r="Q229" s="13"/>
      <c r="R229" s="13"/>
      <c r="S229" s="13"/>
      <c r="T229" s="13"/>
      <c r="U229" s="13"/>
      <c r="V229" s="13"/>
      <c r="W229" s="13"/>
      <c r="X229" s="13"/>
      <c r="Y229" s="13"/>
      <c r="Z229" s="13" t="str">
        <f t="shared" si="17"/>
        <v>low</v>
      </c>
      <c r="AA229" s="13" t="str" cm="1">
        <f t="array" ref="AA229">_xlfn.IFS(H229&gt;30,"high",H229&gt;20,"medium",H229&lt;=20,"low")</f>
        <v>medium</v>
      </c>
      <c r="AB229" s="13" t="b">
        <f t="shared" si="18"/>
        <v>1</v>
      </c>
      <c r="AC229" s="13" t="b">
        <f t="shared" si="19"/>
        <v>1</v>
      </c>
    </row>
    <row r="230" spans="1:29">
      <c r="A230" s="10" t="s">
        <v>172</v>
      </c>
      <c r="B230" s="12">
        <v>45840</v>
      </c>
      <c r="C230" s="10" t="s">
        <v>5</v>
      </c>
      <c r="D230" s="10" t="s">
        <v>224</v>
      </c>
      <c r="E230" s="10" t="s">
        <v>12</v>
      </c>
      <c r="F230" s="13">
        <v>8.2899999999999991</v>
      </c>
      <c r="G230" s="13">
        <v>0.61</v>
      </c>
      <c r="H230" s="13">
        <f t="shared" si="15"/>
        <v>8.8999999999999986</v>
      </c>
      <c r="I230" s="13">
        <f t="shared" si="16"/>
        <v>4.754999999999999</v>
      </c>
      <c r="J230" s="13"/>
      <c r="K230" s="13"/>
      <c r="L230" s="13"/>
      <c r="M230" s="13"/>
      <c r="N230" s="13"/>
      <c r="O230" s="13"/>
      <c r="P230" s="13"/>
      <c r="Q230" s="13"/>
      <c r="R230" s="13"/>
      <c r="S230" s="13"/>
      <c r="T230" s="13"/>
      <c r="U230" s="13"/>
      <c r="V230" s="13"/>
      <c r="W230" s="13"/>
      <c r="X230" s="13"/>
      <c r="Y230" s="13"/>
      <c r="Z230" s="13" t="str">
        <f t="shared" si="17"/>
        <v>low</v>
      </c>
      <c r="AA230" s="13" t="str" cm="1">
        <f t="array" ref="AA230">_xlfn.IFS(H230&gt;30,"high",H230&gt;20,"medium",H230&lt;=20,"low")</f>
        <v>low</v>
      </c>
      <c r="AB230" s="13" t="b">
        <f t="shared" si="18"/>
        <v>0</v>
      </c>
      <c r="AC230" s="13" t="b">
        <f t="shared" si="19"/>
        <v>1</v>
      </c>
    </row>
    <row r="231" spans="1:29">
      <c r="A231" s="10" t="s">
        <v>305</v>
      </c>
      <c r="B231" s="12">
        <v>46066</v>
      </c>
      <c r="C231" s="10" t="s">
        <v>9</v>
      </c>
      <c r="D231" s="10" t="s">
        <v>224</v>
      </c>
      <c r="E231" s="10" t="s">
        <v>15</v>
      </c>
      <c r="F231" s="13">
        <v>15.36</v>
      </c>
      <c r="G231" s="13">
        <v>5.53</v>
      </c>
      <c r="H231" s="13">
        <f t="shared" si="15"/>
        <v>20.89</v>
      </c>
      <c r="I231" s="13">
        <f t="shared" si="16"/>
        <v>13.21</v>
      </c>
      <c r="J231" s="13"/>
      <c r="K231" s="13"/>
      <c r="L231" s="13"/>
      <c r="M231" s="13"/>
      <c r="N231" s="13"/>
      <c r="O231" s="13"/>
      <c r="P231" s="13"/>
      <c r="Q231" s="13"/>
      <c r="R231" s="13"/>
      <c r="S231" s="13"/>
      <c r="T231" s="13"/>
      <c r="U231" s="13"/>
      <c r="V231" s="13"/>
      <c r="W231" s="13"/>
      <c r="X231" s="13"/>
      <c r="Y231" s="13"/>
      <c r="Z231" s="13" t="str">
        <f t="shared" si="17"/>
        <v>low</v>
      </c>
      <c r="AA231" s="13" t="str" cm="1">
        <f t="array" ref="AA231">_xlfn.IFS(H231&gt;30,"high",H231&gt;20,"medium",H231&lt;=20,"low")</f>
        <v>medium</v>
      </c>
      <c r="AB231" s="13" t="b">
        <f t="shared" si="18"/>
        <v>1</v>
      </c>
      <c r="AC231" s="13" t="b">
        <f t="shared" si="19"/>
        <v>1</v>
      </c>
    </row>
    <row r="232" spans="1:29">
      <c r="A232" s="10" t="s">
        <v>173</v>
      </c>
      <c r="B232" s="12">
        <v>45698</v>
      </c>
      <c r="C232" s="10" t="s">
        <v>19</v>
      </c>
      <c r="D232" s="10" t="s">
        <v>224</v>
      </c>
      <c r="E232" s="10" t="s">
        <v>6</v>
      </c>
      <c r="F232" s="13">
        <v>-7</v>
      </c>
      <c r="G232" s="13">
        <v>5.29</v>
      </c>
      <c r="H232" s="13">
        <f t="shared" si="15"/>
        <v>-1.71</v>
      </c>
      <c r="I232" s="13">
        <f t="shared" si="16"/>
        <v>1.79</v>
      </c>
      <c r="J232" s="13"/>
      <c r="K232" s="13"/>
      <c r="L232" s="13"/>
      <c r="M232" s="13"/>
      <c r="N232" s="13"/>
      <c r="O232" s="13"/>
      <c r="P232" s="13"/>
      <c r="Q232" s="13"/>
      <c r="R232" s="13"/>
      <c r="S232" s="13"/>
      <c r="T232" s="13"/>
      <c r="U232" s="13"/>
      <c r="V232" s="13"/>
      <c r="W232" s="13"/>
      <c r="X232" s="13"/>
      <c r="Y232" s="13"/>
      <c r="Z232" s="13" t="str">
        <f t="shared" si="17"/>
        <v>low</v>
      </c>
      <c r="AA232" s="13" t="str" cm="1">
        <f t="array" ref="AA232">_xlfn.IFS(H232&gt;30,"high",H232&gt;20,"medium",H232&lt;=20,"low")</f>
        <v>low</v>
      </c>
      <c r="AB232" s="13" t="b">
        <f t="shared" si="18"/>
        <v>0</v>
      </c>
      <c r="AC232" s="13" t="b">
        <f t="shared" si="19"/>
        <v>1</v>
      </c>
    </row>
    <row r="233" spans="1:29">
      <c r="A233" s="10" t="s">
        <v>306</v>
      </c>
      <c r="B233" s="12">
        <v>45908</v>
      </c>
      <c r="C233" s="10" t="s">
        <v>5</v>
      </c>
      <c r="D233" s="10" t="s">
        <v>226</v>
      </c>
      <c r="E233" s="10" t="s">
        <v>12</v>
      </c>
      <c r="F233" s="13">
        <v>23.01</v>
      </c>
      <c r="G233" s="13">
        <v>7.46</v>
      </c>
      <c r="H233" s="13">
        <f t="shared" si="15"/>
        <v>30.470000000000002</v>
      </c>
      <c r="I233" s="13">
        <f t="shared" si="16"/>
        <v>18.965</v>
      </c>
      <c r="J233" s="13"/>
      <c r="K233" s="13"/>
      <c r="L233" s="13"/>
      <c r="M233" s="13"/>
      <c r="N233" s="13"/>
      <c r="O233" s="13"/>
      <c r="P233" s="13"/>
      <c r="Q233" s="13"/>
      <c r="R233" s="13"/>
      <c r="S233" s="13"/>
      <c r="T233" s="13"/>
      <c r="U233" s="13"/>
      <c r="V233" s="13"/>
      <c r="W233" s="13"/>
      <c r="X233" s="13"/>
      <c r="Y233" s="13"/>
      <c r="Z233" s="13" t="str">
        <f t="shared" si="17"/>
        <v>high</v>
      </c>
      <c r="AA233" s="13" t="str" cm="1">
        <f t="array" ref="AA233">_xlfn.IFS(H233&gt;30,"high",H233&gt;20,"medium",H233&lt;=20,"low")</f>
        <v>high</v>
      </c>
      <c r="AB233" s="13" t="b">
        <f t="shared" si="18"/>
        <v>1</v>
      </c>
      <c r="AC233" s="13" t="b">
        <f t="shared" si="19"/>
        <v>1</v>
      </c>
    </row>
    <row r="234" spans="1:29">
      <c r="A234" s="10" t="s">
        <v>174</v>
      </c>
      <c r="B234" s="12">
        <v>45944</v>
      </c>
      <c r="C234" s="10" t="s">
        <v>5</v>
      </c>
      <c r="D234" s="10" t="s">
        <v>226</v>
      </c>
      <c r="E234" s="10" t="s">
        <v>15</v>
      </c>
      <c r="F234" s="13">
        <v>25.5</v>
      </c>
      <c r="G234" s="13">
        <v>4.5999999999999996</v>
      </c>
      <c r="H234" s="13">
        <f t="shared" si="15"/>
        <v>30.1</v>
      </c>
      <c r="I234" s="13">
        <f t="shared" si="16"/>
        <v>17.350000000000001</v>
      </c>
      <c r="J234" s="13"/>
      <c r="K234" s="13"/>
      <c r="L234" s="13"/>
      <c r="M234" s="13"/>
      <c r="N234" s="13"/>
      <c r="O234" s="13"/>
      <c r="P234" s="13"/>
      <c r="Q234" s="13"/>
      <c r="R234" s="13"/>
      <c r="S234" s="13"/>
      <c r="T234" s="13"/>
      <c r="U234" s="13"/>
      <c r="V234" s="13"/>
      <c r="W234" s="13"/>
      <c r="X234" s="13"/>
      <c r="Y234" s="13"/>
      <c r="Z234" s="13" t="str">
        <f t="shared" si="17"/>
        <v>high</v>
      </c>
      <c r="AA234" s="13" t="str" cm="1">
        <f t="array" ref="AA234">_xlfn.IFS(H234&gt;30,"high",H234&gt;20,"medium",H234&lt;=20,"low")</f>
        <v>high</v>
      </c>
      <c r="AB234" s="13" t="b">
        <f t="shared" si="18"/>
        <v>1</v>
      </c>
      <c r="AC234" s="13" t="b">
        <f t="shared" si="19"/>
        <v>1</v>
      </c>
    </row>
    <row r="235" spans="1:29">
      <c r="A235" s="10" t="s">
        <v>175</v>
      </c>
      <c r="B235" s="12">
        <v>45917</v>
      </c>
      <c r="C235" s="10" t="s">
        <v>5</v>
      </c>
      <c r="D235" s="10" t="s">
        <v>226</v>
      </c>
      <c r="E235" s="10" t="s">
        <v>12</v>
      </c>
      <c r="F235" s="13">
        <v>25.47</v>
      </c>
      <c r="G235" s="13">
        <v>11.17</v>
      </c>
      <c r="H235" s="13">
        <f t="shared" si="15"/>
        <v>36.64</v>
      </c>
      <c r="I235" s="13">
        <f t="shared" si="16"/>
        <v>23.905000000000001</v>
      </c>
      <c r="J235" s="13"/>
      <c r="K235" s="13"/>
      <c r="L235" s="13"/>
      <c r="M235" s="13"/>
      <c r="N235" s="13"/>
      <c r="O235" s="13"/>
      <c r="P235" s="13"/>
      <c r="Q235" s="13"/>
      <c r="R235" s="13"/>
      <c r="S235" s="13"/>
      <c r="T235" s="13"/>
      <c r="U235" s="13"/>
      <c r="V235" s="13"/>
      <c r="W235" s="13"/>
      <c r="X235" s="13"/>
      <c r="Y235" s="13"/>
      <c r="Z235" s="13" t="str">
        <f t="shared" si="17"/>
        <v>high</v>
      </c>
      <c r="AA235" s="13" t="str" cm="1">
        <f t="array" ref="AA235">_xlfn.IFS(H235&gt;30,"high",H235&gt;20,"medium",H235&lt;=20,"low")</f>
        <v>high</v>
      </c>
      <c r="AB235" s="13" t="b">
        <f t="shared" si="18"/>
        <v>1</v>
      </c>
      <c r="AC235" s="13" t="b">
        <f t="shared" si="19"/>
        <v>1</v>
      </c>
    </row>
    <row r="236" spans="1:29">
      <c r="A236" s="10" t="s">
        <v>307</v>
      </c>
      <c r="B236" s="12">
        <v>46054</v>
      </c>
      <c r="C236" s="10" t="s">
        <v>5</v>
      </c>
      <c r="D236" s="10" t="s">
        <v>224</v>
      </c>
      <c r="E236" s="10" t="s">
        <v>8</v>
      </c>
      <c r="F236" s="13">
        <v>26.32</v>
      </c>
      <c r="G236" s="13">
        <v>4.3099999999999996</v>
      </c>
      <c r="H236" s="13">
        <f t="shared" si="15"/>
        <v>30.63</v>
      </c>
      <c r="I236" s="13">
        <f t="shared" si="16"/>
        <v>17.47</v>
      </c>
      <c r="J236" s="13"/>
      <c r="K236" s="13"/>
      <c r="L236" s="13"/>
      <c r="M236" s="13"/>
      <c r="N236" s="13"/>
      <c r="O236" s="13"/>
      <c r="P236" s="13"/>
      <c r="Q236" s="13"/>
      <c r="R236" s="13"/>
      <c r="S236" s="13"/>
      <c r="T236" s="13"/>
      <c r="U236" s="13"/>
      <c r="V236" s="13"/>
      <c r="W236" s="13"/>
      <c r="X236" s="13"/>
      <c r="Y236" s="13"/>
      <c r="Z236" s="13" t="str">
        <f t="shared" si="17"/>
        <v>high</v>
      </c>
      <c r="AA236" s="13" t="str" cm="1">
        <f t="array" ref="AA236">_xlfn.IFS(H236&gt;30,"high",H236&gt;20,"medium",H236&lt;=20,"low")</f>
        <v>high</v>
      </c>
      <c r="AB236" s="13" t="b">
        <f t="shared" si="18"/>
        <v>1</v>
      </c>
      <c r="AC236" s="13" t="b">
        <f t="shared" si="19"/>
        <v>1</v>
      </c>
    </row>
    <row r="237" spans="1:29">
      <c r="A237" s="10" t="s">
        <v>176</v>
      </c>
      <c r="B237" s="12">
        <v>45798</v>
      </c>
      <c r="C237" s="10" t="s">
        <v>9</v>
      </c>
      <c r="D237" s="10" t="s">
        <v>226</v>
      </c>
      <c r="E237" s="10" t="s">
        <v>12</v>
      </c>
      <c r="F237" s="13">
        <v>9.1300000000000008</v>
      </c>
      <c r="G237" s="13">
        <v>3.72</v>
      </c>
      <c r="H237" s="13">
        <f t="shared" si="15"/>
        <v>12.850000000000001</v>
      </c>
      <c r="I237" s="13">
        <f t="shared" si="16"/>
        <v>8.2850000000000001</v>
      </c>
      <c r="J237" s="13"/>
      <c r="K237" s="13"/>
      <c r="L237" s="13"/>
      <c r="M237" s="13"/>
      <c r="N237" s="13"/>
      <c r="O237" s="13"/>
      <c r="P237" s="13"/>
      <c r="Q237" s="13"/>
      <c r="R237" s="13"/>
      <c r="S237" s="13"/>
      <c r="T237" s="13"/>
      <c r="U237" s="13"/>
      <c r="V237" s="13"/>
      <c r="W237" s="13"/>
      <c r="X237" s="13"/>
      <c r="Y237" s="13"/>
      <c r="Z237" s="13" t="str">
        <f t="shared" si="17"/>
        <v>low</v>
      </c>
      <c r="AA237" s="13" t="str" cm="1">
        <f t="array" ref="AA237">_xlfn.IFS(H237&gt;30,"high",H237&gt;20,"medium",H237&lt;=20,"low")</f>
        <v>low</v>
      </c>
      <c r="AB237" s="13" t="b">
        <f t="shared" si="18"/>
        <v>0</v>
      </c>
      <c r="AC237" s="13" t="b">
        <f t="shared" si="19"/>
        <v>1</v>
      </c>
    </row>
    <row r="238" spans="1:29">
      <c r="A238" s="10" t="s">
        <v>177</v>
      </c>
      <c r="B238" s="12">
        <v>46136</v>
      </c>
      <c r="C238" s="10" t="s">
        <v>7</v>
      </c>
      <c r="D238" s="10" t="s">
        <v>226</v>
      </c>
      <c r="E238" s="10" t="s">
        <v>15</v>
      </c>
      <c r="F238" s="13">
        <v>14.88</v>
      </c>
      <c r="G238" s="13">
        <v>2.94</v>
      </c>
      <c r="H238" s="13">
        <f t="shared" si="15"/>
        <v>17.82</v>
      </c>
      <c r="I238" s="13">
        <f t="shared" si="16"/>
        <v>10.38</v>
      </c>
      <c r="J238" s="13"/>
      <c r="K238" s="13"/>
      <c r="L238" s="13"/>
      <c r="M238" s="13"/>
      <c r="N238" s="13"/>
      <c r="O238" s="13"/>
      <c r="P238" s="13"/>
      <c r="Q238" s="13"/>
      <c r="R238" s="13"/>
      <c r="S238" s="13"/>
      <c r="T238" s="13"/>
      <c r="U238" s="13"/>
      <c r="V238" s="13"/>
      <c r="W238" s="13"/>
      <c r="X238" s="13"/>
      <c r="Y238" s="13"/>
      <c r="Z238" s="13" t="str">
        <f t="shared" si="17"/>
        <v>low</v>
      </c>
      <c r="AA238" s="13" t="str" cm="1">
        <f t="array" ref="AA238">_xlfn.IFS(H238&gt;30,"high",H238&gt;20,"medium",H238&lt;=20,"low")</f>
        <v>low</v>
      </c>
      <c r="AB238" s="13" t="b">
        <f t="shared" si="18"/>
        <v>1</v>
      </c>
      <c r="AC238" s="13" t="b">
        <f t="shared" si="19"/>
        <v>1</v>
      </c>
    </row>
    <row r="239" spans="1:29">
      <c r="A239" s="10" t="s">
        <v>178</v>
      </c>
      <c r="B239" s="12">
        <v>45930</v>
      </c>
      <c r="C239" s="10" t="s">
        <v>19</v>
      </c>
      <c r="D239" s="10" t="s">
        <v>226</v>
      </c>
      <c r="E239" s="10" t="s">
        <v>8</v>
      </c>
      <c r="F239" s="13">
        <v>44.9</v>
      </c>
      <c r="G239" s="13">
        <v>3.69</v>
      </c>
      <c r="H239" s="13">
        <f t="shared" si="15"/>
        <v>48.589999999999996</v>
      </c>
      <c r="I239" s="13">
        <f t="shared" si="16"/>
        <v>26.139999999999997</v>
      </c>
      <c r="J239" s="13"/>
      <c r="K239" s="13"/>
      <c r="L239" s="13"/>
      <c r="M239" s="13"/>
      <c r="N239" s="13"/>
      <c r="O239" s="13"/>
      <c r="P239" s="13"/>
      <c r="Q239" s="13"/>
      <c r="R239" s="13"/>
      <c r="S239" s="13"/>
      <c r="T239" s="13"/>
      <c r="U239" s="13"/>
      <c r="V239" s="13"/>
      <c r="W239" s="13"/>
      <c r="X239" s="13"/>
      <c r="Y239" s="13"/>
      <c r="Z239" s="13" t="str">
        <f t="shared" si="17"/>
        <v>high</v>
      </c>
      <c r="AA239" s="13" t="str" cm="1">
        <f t="array" ref="AA239">_xlfn.IFS(H239&gt;30,"high",H239&gt;20,"medium",H239&lt;=20,"low")</f>
        <v>high</v>
      </c>
      <c r="AB239" s="13" t="b">
        <f t="shared" si="18"/>
        <v>1</v>
      </c>
      <c r="AC239" s="13" t="b">
        <f t="shared" si="19"/>
        <v>1</v>
      </c>
    </row>
    <row r="240" spans="1:29">
      <c r="A240" s="10" t="s">
        <v>308</v>
      </c>
      <c r="B240" s="12">
        <v>45950</v>
      </c>
      <c r="C240" s="10" t="s">
        <v>21</v>
      </c>
      <c r="D240" s="10" t="s">
        <v>226</v>
      </c>
      <c r="E240" s="10" t="s">
        <v>8</v>
      </c>
      <c r="F240" s="13">
        <v>13.87</v>
      </c>
      <c r="G240" s="13">
        <v>1.8</v>
      </c>
      <c r="H240" s="13">
        <f t="shared" si="15"/>
        <v>15.67</v>
      </c>
      <c r="I240" s="13">
        <f t="shared" si="16"/>
        <v>8.7349999999999994</v>
      </c>
      <c r="J240" s="13"/>
      <c r="K240" s="13"/>
      <c r="L240" s="13"/>
      <c r="M240" s="13"/>
      <c r="N240" s="13"/>
      <c r="O240" s="13"/>
      <c r="P240" s="13"/>
      <c r="Q240" s="13"/>
      <c r="R240" s="13"/>
      <c r="S240" s="13"/>
      <c r="T240" s="13"/>
      <c r="U240" s="13"/>
      <c r="V240" s="13"/>
      <c r="W240" s="13"/>
      <c r="X240" s="13"/>
      <c r="Y240" s="13"/>
      <c r="Z240" s="13" t="str">
        <f t="shared" si="17"/>
        <v>low</v>
      </c>
      <c r="AA240" s="13" t="str" cm="1">
        <f t="array" ref="AA240">_xlfn.IFS(H240&gt;30,"high",H240&gt;20,"medium",H240&lt;=20,"low")</f>
        <v>low</v>
      </c>
      <c r="AB240" s="13" t="b">
        <f t="shared" si="18"/>
        <v>0</v>
      </c>
      <c r="AC240" s="13" t="b">
        <f t="shared" si="19"/>
        <v>1</v>
      </c>
    </row>
    <row r="241" spans="1:29">
      <c r="A241" s="10" t="s">
        <v>179</v>
      </c>
      <c r="B241" s="12">
        <v>46013</v>
      </c>
      <c r="C241" s="10" t="s">
        <v>7</v>
      </c>
      <c r="D241" s="10" t="s">
        <v>224</v>
      </c>
      <c r="E241" s="10" t="s">
        <v>15</v>
      </c>
      <c r="F241" s="13">
        <v>36.42</v>
      </c>
      <c r="G241" s="13">
        <v>3.75</v>
      </c>
      <c r="H241" s="13">
        <f t="shared" si="15"/>
        <v>40.17</v>
      </c>
      <c r="I241" s="13">
        <f t="shared" si="16"/>
        <v>21.96</v>
      </c>
      <c r="J241" s="13"/>
      <c r="K241" s="13"/>
      <c r="L241" s="13"/>
      <c r="M241" s="13"/>
      <c r="N241" s="13"/>
      <c r="O241" s="13"/>
      <c r="P241" s="13"/>
      <c r="Q241" s="13"/>
      <c r="R241" s="13"/>
      <c r="S241" s="13"/>
      <c r="T241" s="13"/>
      <c r="U241" s="13"/>
      <c r="V241" s="13"/>
      <c r="W241" s="13"/>
      <c r="X241" s="13"/>
      <c r="Y241" s="13"/>
      <c r="Z241" s="13" t="str">
        <f t="shared" si="17"/>
        <v>high</v>
      </c>
      <c r="AA241" s="13" t="str" cm="1">
        <f t="array" ref="AA241">_xlfn.IFS(H241&gt;30,"high",H241&gt;20,"medium",H241&lt;=20,"low")</f>
        <v>high</v>
      </c>
      <c r="AB241" s="13" t="b">
        <f t="shared" si="18"/>
        <v>1</v>
      </c>
      <c r="AC241" s="13" t="b">
        <f t="shared" si="19"/>
        <v>1</v>
      </c>
    </row>
    <row r="242" spans="1:29">
      <c r="A242" s="10" t="s">
        <v>180</v>
      </c>
      <c r="B242" s="12">
        <v>46072</v>
      </c>
      <c r="C242" s="10" t="s">
        <v>9</v>
      </c>
      <c r="D242" s="10" t="s">
        <v>6</v>
      </c>
      <c r="E242" s="10" t="s">
        <v>8</v>
      </c>
      <c r="F242" s="13">
        <v>22.5</v>
      </c>
      <c r="G242" s="13">
        <v>7.09</v>
      </c>
      <c r="H242" s="13">
        <f t="shared" si="15"/>
        <v>29.59</v>
      </c>
      <c r="I242" s="13">
        <f t="shared" si="16"/>
        <v>18.34</v>
      </c>
      <c r="J242" s="13"/>
      <c r="K242" s="13"/>
      <c r="L242" s="13"/>
      <c r="M242" s="13"/>
      <c r="N242" s="13"/>
      <c r="O242" s="13"/>
      <c r="P242" s="13"/>
      <c r="Q242" s="13"/>
      <c r="R242" s="13"/>
      <c r="S242" s="13"/>
      <c r="T242" s="13"/>
      <c r="U242" s="13"/>
      <c r="V242" s="13"/>
      <c r="W242" s="13"/>
      <c r="X242" s="13"/>
      <c r="Y242" s="13"/>
      <c r="Z242" s="13" t="str">
        <f t="shared" si="17"/>
        <v>low</v>
      </c>
      <c r="AA242" s="13" t="str" cm="1">
        <f t="array" ref="AA242">_xlfn.IFS(H242&gt;30,"high",H242&gt;20,"medium",H242&lt;=20,"low")</f>
        <v>medium</v>
      </c>
      <c r="AB242" s="13" t="b">
        <f t="shared" si="18"/>
        <v>1</v>
      </c>
      <c r="AC242" s="13" t="b">
        <f t="shared" si="19"/>
        <v>1</v>
      </c>
    </row>
    <row r="243" spans="1:29">
      <c r="A243" s="10" t="s">
        <v>309</v>
      </c>
      <c r="B243" s="12">
        <v>45991</v>
      </c>
      <c r="C243" s="10" t="s">
        <v>5</v>
      </c>
      <c r="D243" s="10" t="s">
        <v>226</v>
      </c>
      <c r="E243" s="10" t="s">
        <v>15</v>
      </c>
      <c r="F243" s="13">
        <v>50.58</v>
      </c>
      <c r="G243" s="13">
        <v>0.82</v>
      </c>
      <c r="H243" s="13">
        <f t="shared" si="15"/>
        <v>51.4</v>
      </c>
      <c r="I243" s="13">
        <f t="shared" si="16"/>
        <v>26.11</v>
      </c>
      <c r="J243" s="13"/>
      <c r="K243" s="13"/>
      <c r="L243" s="13"/>
      <c r="M243" s="13"/>
      <c r="N243" s="13"/>
      <c r="O243" s="13"/>
      <c r="P243" s="13"/>
      <c r="Q243" s="13"/>
      <c r="R243" s="13"/>
      <c r="S243" s="13"/>
      <c r="T243" s="13"/>
      <c r="U243" s="13"/>
      <c r="V243" s="13"/>
      <c r="W243" s="13"/>
      <c r="X243" s="13"/>
      <c r="Y243" s="13"/>
      <c r="Z243" s="13" t="str">
        <f t="shared" si="17"/>
        <v>high</v>
      </c>
      <c r="AA243" s="13" t="str" cm="1">
        <f t="array" ref="AA243">_xlfn.IFS(H243&gt;30,"high",H243&gt;20,"medium",H243&lt;=20,"low")</f>
        <v>high</v>
      </c>
      <c r="AB243" s="13" t="b">
        <f t="shared" si="18"/>
        <v>1</v>
      </c>
      <c r="AC243" s="13" t="b">
        <f t="shared" si="19"/>
        <v>1</v>
      </c>
    </row>
    <row r="244" spans="1:29">
      <c r="A244" s="10" t="s">
        <v>310</v>
      </c>
      <c r="B244" s="12">
        <v>45747</v>
      </c>
      <c r="C244" s="10" t="s">
        <v>182</v>
      </c>
      <c r="D244" s="10" t="s">
        <v>226</v>
      </c>
      <c r="E244" s="10" t="s">
        <v>8</v>
      </c>
      <c r="F244" s="13">
        <v>5.48</v>
      </c>
      <c r="G244" s="13">
        <v>3.58</v>
      </c>
      <c r="H244" s="13">
        <f t="shared" si="15"/>
        <v>9.06</v>
      </c>
      <c r="I244" s="13">
        <f t="shared" si="16"/>
        <v>6.32</v>
      </c>
      <c r="J244" s="13"/>
      <c r="K244" s="13"/>
      <c r="L244" s="13"/>
      <c r="M244" s="13"/>
      <c r="N244" s="13"/>
      <c r="O244" s="13"/>
      <c r="P244" s="13"/>
      <c r="Q244" s="13"/>
      <c r="R244" s="13"/>
      <c r="S244" s="13"/>
      <c r="T244" s="13"/>
      <c r="U244" s="13"/>
      <c r="V244" s="13"/>
      <c r="W244" s="13"/>
      <c r="X244" s="13"/>
      <c r="Y244" s="13"/>
      <c r="Z244" s="13" t="str">
        <f t="shared" si="17"/>
        <v>low</v>
      </c>
      <c r="AA244" s="13" t="str" cm="1">
        <f t="array" ref="AA244">_xlfn.IFS(H244&gt;30,"high",H244&gt;20,"medium",H244&lt;=20,"low")</f>
        <v>low</v>
      </c>
      <c r="AB244" s="13" t="b">
        <f t="shared" si="18"/>
        <v>0</v>
      </c>
      <c r="AC244" s="13" t="b">
        <f t="shared" si="19"/>
        <v>1</v>
      </c>
    </row>
    <row r="245" spans="1:29">
      <c r="A245" s="10" t="s">
        <v>181</v>
      </c>
      <c r="B245" s="12">
        <v>45758</v>
      </c>
      <c r="C245" s="10" t="s">
        <v>21</v>
      </c>
      <c r="D245" s="10" t="s">
        <v>226</v>
      </c>
      <c r="E245" s="10" t="s">
        <v>12</v>
      </c>
      <c r="F245" s="13">
        <v>42.55</v>
      </c>
      <c r="G245" s="13">
        <v>3.67</v>
      </c>
      <c r="H245" s="13">
        <f t="shared" si="15"/>
        <v>46.22</v>
      </c>
      <c r="I245" s="13">
        <f t="shared" si="16"/>
        <v>24.945</v>
      </c>
      <c r="J245" s="13"/>
      <c r="K245" s="13"/>
      <c r="L245" s="13"/>
      <c r="M245" s="13"/>
      <c r="N245" s="13"/>
      <c r="O245" s="13"/>
      <c r="P245" s="13"/>
      <c r="Q245" s="13"/>
      <c r="R245" s="13"/>
      <c r="S245" s="13"/>
      <c r="T245" s="13"/>
      <c r="U245" s="13"/>
      <c r="V245" s="13"/>
      <c r="W245" s="13"/>
      <c r="X245" s="13"/>
      <c r="Y245" s="13"/>
      <c r="Z245" s="13" t="str">
        <f t="shared" si="17"/>
        <v>high</v>
      </c>
      <c r="AA245" s="13" t="str" cm="1">
        <f t="array" ref="AA245">_xlfn.IFS(H245&gt;30,"high",H245&gt;20,"medium",H245&lt;=20,"low")</f>
        <v>high</v>
      </c>
      <c r="AB245" s="13" t="b">
        <f t="shared" si="18"/>
        <v>1</v>
      </c>
      <c r="AC245" s="13" t="b">
        <f t="shared" si="19"/>
        <v>1</v>
      </c>
    </row>
    <row r="246" spans="1:29">
      <c r="A246" s="10" t="s">
        <v>81</v>
      </c>
      <c r="B246" s="12">
        <v>46009</v>
      </c>
      <c r="C246" s="10" t="s">
        <v>5</v>
      </c>
      <c r="D246" s="10" t="s">
        <v>224</v>
      </c>
      <c r="E246" s="10" t="s">
        <v>8</v>
      </c>
      <c r="F246" s="13">
        <v>17.16</v>
      </c>
      <c r="G246" s="13">
        <v>2.1800000000000002</v>
      </c>
      <c r="H246" s="13">
        <f t="shared" si="15"/>
        <v>19.34</v>
      </c>
      <c r="I246" s="13">
        <f t="shared" si="16"/>
        <v>10.76</v>
      </c>
      <c r="J246" s="13"/>
      <c r="K246" s="13"/>
      <c r="L246" s="13"/>
      <c r="M246" s="13"/>
      <c r="N246" s="13"/>
      <c r="O246" s="13"/>
      <c r="P246" s="13"/>
      <c r="Q246" s="13"/>
      <c r="R246" s="13"/>
      <c r="S246" s="13"/>
      <c r="T246" s="13"/>
      <c r="U246" s="13"/>
      <c r="V246" s="13"/>
      <c r="W246" s="13"/>
      <c r="X246" s="13"/>
      <c r="Y246" s="13"/>
      <c r="Z246" s="13" t="str">
        <f t="shared" si="17"/>
        <v>low</v>
      </c>
      <c r="AA246" s="13" t="str" cm="1">
        <f t="array" ref="AA246">_xlfn.IFS(H246&gt;30,"high",H246&gt;20,"medium",H246&lt;=20,"low")</f>
        <v>low</v>
      </c>
      <c r="AB246" s="13" t="b">
        <f t="shared" si="18"/>
        <v>1</v>
      </c>
      <c r="AC246" s="13" t="b">
        <f t="shared" si="19"/>
        <v>1</v>
      </c>
    </row>
    <row r="247" spans="1:29">
      <c r="A247" s="10" t="s">
        <v>183</v>
      </c>
      <c r="B247" s="12">
        <v>45680</v>
      </c>
      <c r="C247" s="10" t="s">
        <v>14</v>
      </c>
      <c r="D247" s="10" t="s">
        <v>6</v>
      </c>
      <c r="E247" s="10" t="s">
        <v>12</v>
      </c>
      <c r="F247" s="13">
        <v>21.12</v>
      </c>
      <c r="G247" s="13">
        <v>8.4700000000000006</v>
      </c>
      <c r="H247" s="13">
        <f t="shared" si="15"/>
        <v>29.590000000000003</v>
      </c>
      <c r="I247" s="13">
        <f t="shared" si="16"/>
        <v>19.03</v>
      </c>
      <c r="J247" s="13"/>
      <c r="K247" s="13"/>
      <c r="L247" s="13"/>
      <c r="M247" s="13"/>
      <c r="N247" s="13"/>
      <c r="O247" s="13"/>
      <c r="P247" s="13"/>
      <c r="Q247" s="13"/>
      <c r="R247" s="13"/>
      <c r="S247" s="13"/>
      <c r="T247" s="13"/>
      <c r="U247" s="13"/>
      <c r="V247" s="13"/>
      <c r="W247" s="13"/>
      <c r="X247" s="13"/>
      <c r="Y247" s="13"/>
      <c r="Z247" s="13" t="str">
        <f t="shared" si="17"/>
        <v>low</v>
      </c>
      <c r="AA247" s="13" t="str" cm="1">
        <f t="array" ref="AA247">_xlfn.IFS(H247&gt;30,"high",H247&gt;20,"medium",H247&lt;=20,"low")</f>
        <v>medium</v>
      </c>
      <c r="AB247" s="13" t="b">
        <f t="shared" si="18"/>
        <v>1</v>
      </c>
      <c r="AC247" s="13" t="b">
        <f t="shared" si="19"/>
        <v>1</v>
      </c>
    </row>
    <row r="248" spans="1:29">
      <c r="A248" s="10" t="s">
        <v>184</v>
      </c>
      <c r="B248" s="12">
        <v>45986</v>
      </c>
      <c r="C248" s="10" t="s">
        <v>5</v>
      </c>
      <c r="D248" s="10" t="s">
        <v>224</v>
      </c>
      <c r="E248" s="10" t="s">
        <v>15</v>
      </c>
      <c r="F248" s="13">
        <v>10.84</v>
      </c>
      <c r="G248" s="13">
        <v>11</v>
      </c>
      <c r="H248" s="13">
        <f t="shared" si="15"/>
        <v>21.84</v>
      </c>
      <c r="I248" s="13">
        <f t="shared" si="16"/>
        <v>16.420000000000002</v>
      </c>
      <c r="J248" s="13"/>
      <c r="K248" s="13"/>
      <c r="L248" s="13"/>
      <c r="M248" s="13"/>
      <c r="N248" s="13"/>
      <c r="O248" s="13"/>
      <c r="P248" s="13"/>
      <c r="Q248" s="13"/>
      <c r="R248" s="13"/>
      <c r="S248" s="13"/>
      <c r="T248" s="13"/>
      <c r="U248" s="13"/>
      <c r="V248" s="13"/>
      <c r="W248" s="13"/>
      <c r="X248" s="13"/>
      <c r="Y248" s="13"/>
      <c r="Z248" s="13" t="str">
        <f t="shared" si="17"/>
        <v>low</v>
      </c>
      <c r="AA248" s="13" t="str" cm="1">
        <f t="array" ref="AA248">_xlfn.IFS(H248&gt;30,"high",H248&gt;20,"medium",H248&lt;=20,"low")</f>
        <v>medium</v>
      </c>
      <c r="AB248" s="13" t="b">
        <f t="shared" si="18"/>
        <v>1</v>
      </c>
      <c r="AC248" s="13" t="b">
        <f t="shared" si="19"/>
        <v>1</v>
      </c>
    </row>
    <row r="249" spans="1:29">
      <c r="A249" s="10" t="s">
        <v>185</v>
      </c>
      <c r="B249" s="12">
        <v>45732</v>
      </c>
      <c r="C249" s="10" t="s">
        <v>7</v>
      </c>
      <c r="D249" s="10" t="s">
        <v>6</v>
      </c>
      <c r="E249" s="10" t="s">
        <v>8</v>
      </c>
      <c r="F249" s="13">
        <v>15.56</v>
      </c>
      <c r="G249" s="13">
        <v>3.93</v>
      </c>
      <c r="H249" s="13">
        <f t="shared" si="15"/>
        <v>19.490000000000002</v>
      </c>
      <c r="I249" s="13">
        <f t="shared" si="16"/>
        <v>11.71</v>
      </c>
      <c r="J249" s="13"/>
      <c r="K249" s="13"/>
      <c r="L249" s="13"/>
      <c r="M249" s="13"/>
      <c r="N249" s="13"/>
      <c r="O249" s="13"/>
      <c r="P249" s="13"/>
      <c r="Q249" s="13"/>
      <c r="R249" s="13"/>
      <c r="S249" s="13"/>
      <c r="T249" s="13"/>
      <c r="U249" s="13"/>
      <c r="V249" s="13"/>
      <c r="W249" s="13"/>
      <c r="X249" s="13"/>
      <c r="Y249" s="13"/>
      <c r="Z249" s="13" t="str">
        <f t="shared" si="17"/>
        <v>low</v>
      </c>
      <c r="AA249" s="13" t="str" cm="1">
        <f t="array" ref="AA249">_xlfn.IFS(H249&gt;30,"high",H249&gt;20,"medium",H249&lt;=20,"low")</f>
        <v>low</v>
      </c>
      <c r="AB249" s="13" t="b">
        <f t="shared" si="18"/>
        <v>1</v>
      </c>
      <c r="AC249" s="13" t="b">
        <f t="shared" si="19"/>
        <v>1</v>
      </c>
    </row>
    <row r="250" spans="1:29">
      <c r="A250" s="10" t="s">
        <v>311</v>
      </c>
      <c r="B250" s="12">
        <v>45749</v>
      </c>
      <c r="C250" s="10" t="s">
        <v>5</v>
      </c>
      <c r="D250" s="10" t="s">
        <v>226</v>
      </c>
      <c r="E250" s="10" t="s">
        <v>8</v>
      </c>
      <c r="F250" s="13">
        <v>11.62</v>
      </c>
      <c r="G250" s="13">
        <v>5.21</v>
      </c>
      <c r="H250" s="13">
        <f t="shared" si="15"/>
        <v>16.829999999999998</v>
      </c>
      <c r="I250" s="13">
        <f t="shared" si="16"/>
        <v>11.02</v>
      </c>
      <c r="J250" s="13"/>
      <c r="K250" s="13"/>
      <c r="L250" s="13"/>
      <c r="M250" s="13"/>
      <c r="N250" s="13"/>
      <c r="O250" s="13"/>
      <c r="P250" s="13"/>
      <c r="Q250" s="13"/>
      <c r="R250" s="13"/>
      <c r="S250" s="13"/>
      <c r="T250" s="13"/>
      <c r="U250" s="13"/>
      <c r="V250" s="13"/>
      <c r="W250" s="13"/>
      <c r="X250" s="13"/>
      <c r="Y250" s="13"/>
      <c r="Z250" s="13" t="str">
        <f t="shared" si="17"/>
        <v>low</v>
      </c>
      <c r="AA250" s="13" t="str" cm="1">
        <f t="array" ref="AA250">_xlfn.IFS(H250&gt;30,"high",H250&gt;20,"medium",H250&lt;=20,"low")</f>
        <v>low</v>
      </c>
      <c r="AB250" s="13" t="b">
        <f t="shared" si="18"/>
        <v>1</v>
      </c>
      <c r="AC250" s="13" t="b">
        <f t="shared" si="19"/>
        <v>1</v>
      </c>
    </row>
    <row r="251" spans="1:29">
      <c r="A251" s="10" t="s">
        <v>312</v>
      </c>
      <c r="B251" s="12">
        <v>45908</v>
      </c>
      <c r="C251" s="10" t="s">
        <v>5</v>
      </c>
      <c r="D251" s="10" t="s">
        <v>226</v>
      </c>
      <c r="E251" s="10" t="s">
        <v>8</v>
      </c>
      <c r="F251" s="13">
        <v>12.12</v>
      </c>
      <c r="G251" s="13">
        <v>3.18</v>
      </c>
      <c r="H251" s="13">
        <f t="shared" si="15"/>
        <v>15.299999999999999</v>
      </c>
      <c r="I251" s="13">
        <f t="shared" si="16"/>
        <v>9.24</v>
      </c>
      <c r="J251" s="13"/>
      <c r="K251" s="13"/>
      <c r="L251" s="13"/>
      <c r="M251" s="13"/>
      <c r="N251" s="13"/>
      <c r="O251" s="13"/>
      <c r="P251" s="13"/>
      <c r="Q251" s="13"/>
      <c r="R251" s="13"/>
      <c r="S251" s="13"/>
      <c r="T251" s="13"/>
      <c r="U251" s="13"/>
      <c r="V251" s="13"/>
      <c r="W251" s="13"/>
      <c r="X251" s="13"/>
      <c r="Y251" s="13"/>
      <c r="Z251" s="13" t="str">
        <f t="shared" si="17"/>
        <v>low</v>
      </c>
      <c r="AA251" s="13" t="str" cm="1">
        <f t="array" ref="AA251">_xlfn.IFS(H251&gt;30,"high",H251&gt;20,"medium",H251&lt;=20,"low")</f>
        <v>low</v>
      </c>
      <c r="AB251" s="13" t="b">
        <f t="shared" si="18"/>
        <v>0</v>
      </c>
      <c r="AC251" s="13" t="b">
        <f t="shared" si="19"/>
        <v>1</v>
      </c>
    </row>
    <row r="252" spans="1:29">
      <c r="A252" s="10" t="s">
        <v>131</v>
      </c>
      <c r="B252" s="12">
        <v>45843</v>
      </c>
      <c r="C252" s="10" t="s">
        <v>5</v>
      </c>
      <c r="D252" s="10" t="s">
        <v>226</v>
      </c>
      <c r="E252" s="10" t="s">
        <v>8</v>
      </c>
      <c r="F252" s="13">
        <v>14.81</v>
      </c>
      <c r="G252" s="13">
        <v>10.32</v>
      </c>
      <c r="H252" s="13">
        <f t="shared" si="15"/>
        <v>25.130000000000003</v>
      </c>
      <c r="I252" s="13">
        <f t="shared" si="16"/>
        <v>17.725000000000001</v>
      </c>
      <c r="J252" s="13"/>
      <c r="K252" s="13"/>
      <c r="L252" s="13"/>
      <c r="M252" s="13"/>
      <c r="N252" s="13"/>
      <c r="O252" s="13"/>
      <c r="P252" s="13"/>
      <c r="Q252" s="13"/>
      <c r="R252" s="13"/>
      <c r="S252" s="13"/>
      <c r="T252" s="13"/>
      <c r="U252" s="13"/>
      <c r="V252" s="13"/>
      <c r="W252" s="13"/>
      <c r="X252" s="13"/>
      <c r="Y252" s="13"/>
      <c r="Z252" s="13" t="str">
        <f t="shared" si="17"/>
        <v>low</v>
      </c>
      <c r="AA252" s="13" t="str" cm="1">
        <f t="array" ref="AA252">_xlfn.IFS(H252&gt;30,"high",H252&gt;20,"medium",H252&lt;=20,"low")</f>
        <v>medium</v>
      </c>
      <c r="AB252" s="13" t="b">
        <f t="shared" si="18"/>
        <v>1</v>
      </c>
      <c r="AC252" s="13" t="b">
        <f t="shared" si="19"/>
        <v>1</v>
      </c>
    </row>
    <row r="253" spans="1:29">
      <c r="A253" s="10" t="s">
        <v>186</v>
      </c>
      <c r="B253" s="12">
        <v>45735</v>
      </c>
      <c r="C253" s="10" t="s">
        <v>189</v>
      </c>
      <c r="D253" s="10" t="s">
        <v>6</v>
      </c>
      <c r="E253" s="10" t="s">
        <v>15</v>
      </c>
      <c r="F253" s="13">
        <v>49.1</v>
      </c>
      <c r="G253" s="13">
        <v>12.67</v>
      </c>
      <c r="H253" s="13">
        <f t="shared" si="15"/>
        <v>61.77</v>
      </c>
      <c r="I253" s="13">
        <f t="shared" si="16"/>
        <v>37.22</v>
      </c>
      <c r="J253" s="13"/>
      <c r="K253" s="13"/>
      <c r="L253" s="13"/>
      <c r="M253" s="13"/>
      <c r="N253" s="13"/>
      <c r="O253" s="13"/>
      <c r="P253" s="13"/>
      <c r="Q253" s="13"/>
      <c r="R253" s="13"/>
      <c r="S253" s="13"/>
      <c r="T253" s="13"/>
      <c r="U253" s="13"/>
      <c r="V253" s="13"/>
      <c r="W253" s="13"/>
      <c r="X253" s="13"/>
      <c r="Y253" s="13"/>
      <c r="Z253" s="13" t="str">
        <f t="shared" si="17"/>
        <v>high</v>
      </c>
      <c r="AA253" s="13" t="str" cm="1">
        <f t="array" ref="AA253">_xlfn.IFS(H253&gt;30,"high",H253&gt;20,"medium",H253&lt;=20,"low")</f>
        <v>high</v>
      </c>
      <c r="AB253" s="13" t="b">
        <f t="shared" si="18"/>
        <v>0</v>
      </c>
      <c r="AC253" s="13" t="b">
        <f t="shared" si="19"/>
        <v>1</v>
      </c>
    </row>
    <row r="254" spans="1:29">
      <c r="A254" s="10" t="s">
        <v>187</v>
      </c>
      <c r="B254" s="12">
        <v>46049</v>
      </c>
      <c r="C254" s="10" t="s">
        <v>7</v>
      </c>
      <c r="D254" s="10" t="s">
        <v>226</v>
      </c>
      <c r="E254" s="10" t="s">
        <v>15</v>
      </c>
      <c r="F254" s="13">
        <v>54.97</v>
      </c>
      <c r="G254" s="13">
        <v>2.74</v>
      </c>
      <c r="H254" s="13">
        <f t="shared" si="15"/>
        <v>57.71</v>
      </c>
      <c r="I254" s="13">
        <f t="shared" si="16"/>
        <v>30.225000000000001</v>
      </c>
      <c r="J254" s="13"/>
      <c r="K254" s="13"/>
      <c r="L254" s="13"/>
      <c r="M254" s="13"/>
      <c r="N254" s="13"/>
      <c r="O254" s="13"/>
      <c r="P254" s="13"/>
      <c r="Q254" s="13"/>
      <c r="R254" s="13"/>
      <c r="S254" s="13"/>
      <c r="T254" s="13"/>
      <c r="U254" s="13"/>
      <c r="V254" s="13"/>
      <c r="W254" s="13"/>
      <c r="X254" s="13"/>
      <c r="Y254" s="13"/>
      <c r="Z254" s="13" t="str">
        <f t="shared" si="17"/>
        <v>high</v>
      </c>
      <c r="AA254" s="13" t="str" cm="1">
        <f t="array" ref="AA254">_xlfn.IFS(H254&gt;30,"high",H254&gt;20,"medium",H254&lt;=20,"low")</f>
        <v>high</v>
      </c>
      <c r="AB254" s="13" t="b">
        <f t="shared" si="18"/>
        <v>0</v>
      </c>
      <c r="AC254" s="13" t="b">
        <f t="shared" si="19"/>
        <v>1</v>
      </c>
    </row>
    <row r="255" spans="1:29">
      <c r="A255" s="10" t="s">
        <v>188</v>
      </c>
      <c r="B255" s="12">
        <v>46170</v>
      </c>
      <c r="C255" s="10" t="s">
        <v>5</v>
      </c>
      <c r="D255" s="10" t="s">
        <v>226</v>
      </c>
      <c r="E255" s="10" t="s">
        <v>8</v>
      </c>
      <c r="F255" s="13">
        <v>4.22</v>
      </c>
      <c r="G255" s="13">
        <v>3.17</v>
      </c>
      <c r="H255" s="13">
        <f t="shared" si="15"/>
        <v>7.39</v>
      </c>
      <c r="I255" s="13">
        <f t="shared" si="16"/>
        <v>5.2799999999999994</v>
      </c>
      <c r="J255" s="13"/>
      <c r="K255" s="13"/>
      <c r="L255" s="13"/>
      <c r="M255" s="13"/>
      <c r="N255" s="13"/>
      <c r="O255" s="13"/>
      <c r="P255" s="13"/>
      <c r="Q255" s="13"/>
      <c r="R255" s="13"/>
      <c r="S255" s="13"/>
      <c r="T255" s="13"/>
      <c r="U255" s="13"/>
      <c r="V255" s="13"/>
      <c r="W255" s="13"/>
      <c r="X255" s="13"/>
      <c r="Y255" s="13"/>
      <c r="Z255" s="13" t="str">
        <f t="shared" si="17"/>
        <v>low</v>
      </c>
      <c r="AA255" s="13" t="str" cm="1">
        <f t="array" ref="AA255">_xlfn.IFS(H255&gt;30,"high",H255&gt;20,"medium",H255&lt;=20,"low")</f>
        <v>low</v>
      </c>
      <c r="AB255" s="13" t="b">
        <f t="shared" si="18"/>
        <v>0</v>
      </c>
      <c r="AC255" s="13" t="b">
        <f t="shared" si="19"/>
        <v>1</v>
      </c>
    </row>
    <row r="256" spans="1:29">
      <c r="A256" s="10" t="s">
        <v>313</v>
      </c>
      <c r="B256" s="12">
        <v>46096</v>
      </c>
      <c r="C256" s="10" t="s">
        <v>14</v>
      </c>
      <c r="D256" s="10" t="s">
        <v>224</v>
      </c>
      <c r="E256" s="10" t="s">
        <v>8</v>
      </c>
      <c r="F256" s="13">
        <v>21.55</v>
      </c>
      <c r="G256" s="13">
        <v>4.51</v>
      </c>
      <c r="H256" s="13">
        <f t="shared" si="15"/>
        <v>26.060000000000002</v>
      </c>
      <c r="I256" s="13">
        <f t="shared" si="16"/>
        <v>15.285</v>
      </c>
      <c r="J256" s="13"/>
      <c r="K256" s="13"/>
      <c r="L256" s="13"/>
      <c r="M256" s="13"/>
      <c r="N256" s="13"/>
      <c r="O256" s="13"/>
      <c r="P256" s="13"/>
      <c r="Q256" s="13"/>
      <c r="R256" s="13"/>
      <c r="S256" s="13"/>
      <c r="T256" s="13"/>
      <c r="U256" s="13"/>
      <c r="V256" s="13"/>
      <c r="W256" s="13"/>
      <c r="X256" s="13"/>
      <c r="Y256" s="13"/>
      <c r="Z256" s="13" t="str">
        <f t="shared" si="17"/>
        <v>low</v>
      </c>
      <c r="AA256" s="13" t="str" cm="1">
        <f t="array" ref="AA256">_xlfn.IFS(H256&gt;30,"high",H256&gt;20,"medium",H256&lt;=20,"low")</f>
        <v>medium</v>
      </c>
      <c r="AB256" s="13" t="b">
        <f t="shared" si="18"/>
        <v>1</v>
      </c>
      <c r="AC256" s="13" t="b">
        <f t="shared" si="19"/>
        <v>1</v>
      </c>
    </row>
    <row r="257" spans="1:29">
      <c r="A257" s="10" t="s">
        <v>314</v>
      </c>
      <c r="B257" s="12">
        <v>45901</v>
      </c>
      <c r="C257" s="10" t="s">
        <v>19</v>
      </c>
      <c r="D257" s="10" t="s">
        <v>226</v>
      </c>
      <c r="E257" s="10" t="s">
        <v>6</v>
      </c>
      <c r="F257" s="13">
        <v>68.010000000000005</v>
      </c>
      <c r="G257" s="13">
        <v>8.84</v>
      </c>
      <c r="H257" s="13">
        <f t="shared" si="15"/>
        <v>76.850000000000009</v>
      </c>
      <c r="I257" s="13">
        <f t="shared" si="16"/>
        <v>42.845000000000006</v>
      </c>
      <c r="J257" s="13"/>
      <c r="K257" s="13"/>
      <c r="L257" s="13"/>
      <c r="M257" s="13"/>
      <c r="N257" s="13"/>
      <c r="O257" s="13"/>
      <c r="P257" s="13"/>
      <c r="Q257" s="13"/>
      <c r="R257" s="13"/>
      <c r="S257" s="13"/>
      <c r="T257" s="13"/>
      <c r="U257" s="13"/>
      <c r="V257" s="13"/>
      <c r="W257" s="13"/>
      <c r="X257" s="13"/>
      <c r="Y257" s="13"/>
      <c r="Z257" s="13" t="str">
        <f t="shared" si="17"/>
        <v>high</v>
      </c>
      <c r="AA257" s="13" t="str" cm="1">
        <f t="array" ref="AA257">_xlfn.IFS(H257&gt;30,"high",H257&gt;20,"medium",H257&lt;=20,"low")</f>
        <v>high</v>
      </c>
      <c r="AB257" s="13" t="b">
        <f t="shared" si="18"/>
        <v>0</v>
      </c>
      <c r="AC257" s="13" t="b">
        <f t="shared" si="19"/>
        <v>1</v>
      </c>
    </row>
    <row r="258" spans="1:29">
      <c r="A258" s="10" t="s">
        <v>315</v>
      </c>
      <c r="B258" s="12">
        <v>46196</v>
      </c>
      <c r="C258" s="10" t="s">
        <v>5</v>
      </c>
      <c r="D258" s="10" t="s">
        <v>6</v>
      </c>
      <c r="E258" s="10" t="s">
        <v>15</v>
      </c>
      <c r="F258" s="13">
        <v>63.67</v>
      </c>
      <c r="G258" s="13">
        <v>2.74</v>
      </c>
      <c r="H258" s="13">
        <f t="shared" si="15"/>
        <v>66.41</v>
      </c>
      <c r="I258" s="13">
        <f t="shared" si="16"/>
        <v>34.574999999999996</v>
      </c>
      <c r="J258" s="13"/>
      <c r="K258" s="13"/>
      <c r="L258" s="13"/>
      <c r="M258" s="13"/>
      <c r="N258" s="13"/>
      <c r="O258" s="13"/>
      <c r="P258" s="13"/>
      <c r="Q258" s="13"/>
      <c r="R258" s="13"/>
      <c r="S258" s="13"/>
      <c r="T258" s="13"/>
      <c r="U258" s="13"/>
      <c r="V258" s="13"/>
      <c r="W258" s="13"/>
      <c r="X258" s="13"/>
      <c r="Y258" s="13"/>
      <c r="Z258" s="13" t="str">
        <f t="shared" si="17"/>
        <v>high</v>
      </c>
      <c r="AA258" s="13" t="str" cm="1">
        <f t="array" ref="AA258">_xlfn.IFS(H258&gt;30,"high",H258&gt;20,"medium",H258&lt;=20,"low")</f>
        <v>high</v>
      </c>
      <c r="AB258" s="13" t="b">
        <f t="shared" si="18"/>
        <v>0</v>
      </c>
      <c r="AC258" s="13" t="b">
        <f t="shared" si="19"/>
        <v>1</v>
      </c>
    </row>
    <row r="259" spans="1:29">
      <c r="A259" s="10" t="s">
        <v>316</v>
      </c>
      <c r="B259" s="12">
        <v>45874</v>
      </c>
      <c r="C259" s="10" t="s">
        <v>5</v>
      </c>
      <c r="D259" s="10" t="s">
        <v>6</v>
      </c>
      <c r="E259" s="10" t="s">
        <v>12</v>
      </c>
      <c r="F259" s="13">
        <v>18.34</v>
      </c>
      <c r="G259" s="13">
        <v>4.75</v>
      </c>
      <c r="H259" s="13">
        <f t="shared" ref="H259:H283" si="20">SUM(F259,G259)</f>
        <v>23.09</v>
      </c>
      <c r="I259" s="13">
        <f t="shared" ref="I259:I283" si="21">AVERAGE(G259,H259)</f>
        <v>13.92</v>
      </c>
      <c r="J259" s="13"/>
      <c r="K259" s="13"/>
      <c r="L259" s="13"/>
      <c r="M259" s="13"/>
      <c r="N259" s="13"/>
      <c r="O259" s="13"/>
      <c r="P259" s="13"/>
      <c r="Q259" s="13"/>
      <c r="R259" s="13"/>
      <c r="S259" s="13"/>
      <c r="T259" s="13"/>
      <c r="U259" s="13"/>
      <c r="V259" s="13"/>
      <c r="W259" s="13"/>
      <c r="X259" s="13"/>
      <c r="Y259" s="13"/>
      <c r="Z259" s="13" t="str">
        <f t="shared" ref="Z259:Z283" si="22">IF(H259&gt;30,"high","low")</f>
        <v>low</v>
      </c>
      <c r="AA259" s="13" t="str" cm="1">
        <f t="array" ref="AA259">_xlfn.IFS(H259&gt;30,"high",H259&gt;20,"medium",H259&lt;=20,"low")</f>
        <v>medium</v>
      </c>
      <c r="AB259" s="13" t="b">
        <f t="shared" ref="AB259:AB283" si="23">AND(I259&gt;10,I259&lt;30)</f>
        <v>1</v>
      </c>
      <c r="AC259" s="13" t="b">
        <f t="shared" ref="AC259:AC283" si="24">OR(I259&gt;10,I259&lt;30)</f>
        <v>1</v>
      </c>
    </row>
    <row r="260" spans="1:29">
      <c r="A260" s="10" t="s">
        <v>190</v>
      </c>
      <c r="B260" s="12">
        <v>45736</v>
      </c>
      <c r="C260" s="10" t="s">
        <v>5</v>
      </c>
      <c r="D260" s="10" t="s">
        <v>224</v>
      </c>
      <c r="E260" s="10" t="s">
        <v>8</v>
      </c>
      <c r="F260" s="13">
        <v>6.37</v>
      </c>
      <c r="G260" s="13">
        <v>2.95</v>
      </c>
      <c r="H260" s="13">
        <f t="shared" si="20"/>
        <v>9.32</v>
      </c>
      <c r="I260" s="13">
        <f t="shared" si="21"/>
        <v>6.1349999999999998</v>
      </c>
      <c r="J260" s="13"/>
      <c r="K260" s="13"/>
      <c r="L260" s="13"/>
      <c r="M260" s="13"/>
      <c r="N260" s="13"/>
      <c r="O260" s="13"/>
      <c r="P260" s="13"/>
      <c r="Q260" s="13"/>
      <c r="R260" s="13"/>
      <c r="S260" s="13"/>
      <c r="T260" s="13"/>
      <c r="U260" s="13"/>
      <c r="V260" s="13"/>
      <c r="W260" s="13"/>
      <c r="X260" s="13"/>
      <c r="Y260" s="13"/>
      <c r="Z260" s="13" t="str">
        <f t="shared" si="22"/>
        <v>low</v>
      </c>
      <c r="AA260" s="13" t="str" cm="1">
        <f t="array" ref="AA260">_xlfn.IFS(H260&gt;30,"high",H260&gt;20,"medium",H260&lt;=20,"low")</f>
        <v>low</v>
      </c>
      <c r="AB260" s="13" t="b">
        <f t="shared" si="23"/>
        <v>0</v>
      </c>
      <c r="AC260" s="13" t="b">
        <f t="shared" si="24"/>
        <v>1</v>
      </c>
    </row>
    <row r="261" spans="1:29">
      <c r="A261" s="10" t="s">
        <v>191</v>
      </c>
      <c r="B261" s="12">
        <v>46220</v>
      </c>
      <c r="C261" s="10" t="s">
        <v>7</v>
      </c>
      <c r="D261" s="10" t="s">
        <v>226</v>
      </c>
      <c r="E261" s="10" t="s">
        <v>8</v>
      </c>
      <c r="F261" s="13">
        <v>12.88</v>
      </c>
      <c r="G261" s="13">
        <v>1.1499999999999999</v>
      </c>
      <c r="H261" s="13">
        <f t="shared" si="20"/>
        <v>14.030000000000001</v>
      </c>
      <c r="I261" s="13">
        <f t="shared" si="21"/>
        <v>7.5900000000000007</v>
      </c>
      <c r="J261" s="13"/>
      <c r="K261" s="13"/>
      <c r="L261" s="13"/>
      <c r="M261" s="13"/>
      <c r="N261" s="13"/>
      <c r="O261" s="13"/>
      <c r="P261" s="13"/>
      <c r="Q261" s="13"/>
      <c r="R261" s="13"/>
      <c r="S261" s="13"/>
      <c r="T261" s="13"/>
      <c r="U261" s="13"/>
      <c r="V261" s="13"/>
      <c r="W261" s="13"/>
      <c r="X261" s="13"/>
      <c r="Y261" s="13"/>
      <c r="Z261" s="13" t="str">
        <f t="shared" si="22"/>
        <v>low</v>
      </c>
      <c r="AA261" s="13" t="str" cm="1">
        <f t="array" ref="AA261">_xlfn.IFS(H261&gt;30,"high",H261&gt;20,"medium",H261&lt;=20,"low")</f>
        <v>low</v>
      </c>
      <c r="AB261" s="13" t="b">
        <f t="shared" si="23"/>
        <v>0</v>
      </c>
      <c r="AC261" s="13" t="b">
        <f t="shared" si="24"/>
        <v>1</v>
      </c>
    </row>
    <row r="262" spans="1:29">
      <c r="A262" s="10" t="s">
        <v>192</v>
      </c>
      <c r="B262" s="12">
        <v>46168</v>
      </c>
      <c r="C262" s="10" t="s">
        <v>5</v>
      </c>
      <c r="D262" s="10" t="s">
        <v>6</v>
      </c>
      <c r="E262" s="10" t="s">
        <v>15</v>
      </c>
      <c r="F262" s="13">
        <v>2.94</v>
      </c>
      <c r="G262" s="13">
        <v>5.03</v>
      </c>
      <c r="H262" s="13">
        <f t="shared" si="20"/>
        <v>7.9700000000000006</v>
      </c>
      <c r="I262" s="13">
        <f t="shared" si="21"/>
        <v>6.5</v>
      </c>
      <c r="J262" s="13"/>
      <c r="K262" s="13"/>
      <c r="L262" s="13"/>
      <c r="M262" s="13"/>
      <c r="N262" s="13"/>
      <c r="O262" s="13"/>
      <c r="P262" s="13"/>
      <c r="Q262" s="13"/>
      <c r="R262" s="13"/>
      <c r="S262" s="13"/>
      <c r="T262" s="13"/>
      <c r="U262" s="13"/>
      <c r="V262" s="13"/>
      <c r="W262" s="13"/>
      <c r="X262" s="13"/>
      <c r="Y262" s="13"/>
      <c r="Z262" s="13" t="str">
        <f t="shared" si="22"/>
        <v>low</v>
      </c>
      <c r="AA262" s="13" t="str" cm="1">
        <f t="array" ref="AA262">_xlfn.IFS(H262&gt;30,"high",H262&gt;20,"medium",H262&lt;=20,"low")</f>
        <v>low</v>
      </c>
      <c r="AB262" s="13" t="b">
        <f t="shared" si="23"/>
        <v>0</v>
      </c>
      <c r="AC262" s="13" t="b">
        <f t="shared" si="24"/>
        <v>1</v>
      </c>
    </row>
    <row r="263" spans="1:29">
      <c r="A263" s="10" t="s">
        <v>317</v>
      </c>
      <c r="B263" s="12">
        <v>45855</v>
      </c>
      <c r="C263" s="10" t="s">
        <v>7</v>
      </c>
      <c r="D263" s="10" t="s">
        <v>226</v>
      </c>
      <c r="E263" s="10" t="s">
        <v>8</v>
      </c>
      <c r="F263" s="13">
        <v>51.95</v>
      </c>
      <c r="G263" s="13">
        <v>5.16</v>
      </c>
      <c r="H263" s="13">
        <f t="shared" si="20"/>
        <v>57.11</v>
      </c>
      <c r="I263" s="13">
        <f t="shared" si="21"/>
        <v>31.134999999999998</v>
      </c>
      <c r="J263" s="13"/>
      <c r="K263" s="13"/>
      <c r="L263" s="13"/>
      <c r="M263" s="13"/>
      <c r="N263" s="13"/>
      <c r="O263" s="13"/>
      <c r="P263" s="13"/>
      <c r="Q263" s="13"/>
      <c r="R263" s="13"/>
      <c r="S263" s="13"/>
      <c r="T263" s="13"/>
      <c r="U263" s="13"/>
      <c r="V263" s="13"/>
      <c r="W263" s="13"/>
      <c r="X263" s="13"/>
      <c r="Y263" s="13"/>
      <c r="Z263" s="13" t="str">
        <f t="shared" si="22"/>
        <v>high</v>
      </c>
      <c r="AA263" s="13" t="str" cm="1">
        <f t="array" ref="AA263">_xlfn.IFS(H263&gt;30,"high",H263&gt;20,"medium",H263&lt;=20,"low")</f>
        <v>high</v>
      </c>
      <c r="AB263" s="13" t="b">
        <f t="shared" si="23"/>
        <v>0</v>
      </c>
      <c r="AC263" s="13" t="b">
        <f t="shared" si="24"/>
        <v>1</v>
      </c>
    </row>
    <row r="264" spans="1:29">
      <c r="A264" s="10" t="s">
        <v>193</v>
      </c>
      <c r="B264" s="12">
        <v>45880</v>
      </c>
      <c r="C264" s="10" t="s">
        <v>5</v>
      </c>
      <c r="D264" s="10" t="s">
        <v>224</v>
      </c>
      <c r="E264" s="10" t="s">
        <v>8</v>
      </c>
      <c r="F264" s="13">
        <v>20.89</v>
      </c>
      <c r="G264" s="13">
        <v>2.4300000000000002</v>
      </c>
      <c r="H264" s="13">
        <f t="shared" si="20"/>
        <v>23.32</v>
      </c>
      <c r="I264" s="13">
        <f t="shared" si="21"/>
        <v>12.875</v>
      </c>
      <c r="J264" s="13"/>
      <c r="K264" s="13"/>
      <c r="L264" s="13"/>
      <c r="M264" s="13"/>
      <c r="N264" s="13"/>
      <c r="O264" s="13"/>
      <c r="P264" s="13"/>
      <c r="Q264" s="13"/>
      <c r="R264" s="13"/>
      <c r="S264" s="13"/>
      <c r="T264" s="13"/>
      <c r="U264" s="13"/>
      <c r="V264" s="13"/>
      <c r="W264" s="13"/>
      <c r="X264" s="13"/>
      <c r="Y264" s="13"/>
      <c r="Z264" s="13" t="str">
        <f t="shared" si="22"/>
        <v>low</v>
      </c>
      <c r="AA264" s="13" t="str" cm="1">
        <f t="array" ref="AA264">_xlfn.IFS(H264&gt;30,"high",H264&gt;20,"medium",H264&lt;=20,"low")</f>
        <v>medium</v>
      </c>
      <c r="AB264" s="13" t="b">
        <f t="shared" si="23"/>
        <v>1</v>
      </c>
      <c r="AC264" s="13" t="b">
        <f t="shared" si="24"/>
        <v>1</v>
      </c>
    </row>
    <row r="265" spans="1:29">
      <c r="A265" s="10" t="s">
        <v>194</v>
      </c>
      <c r="B265" s="12">
        <v>45853</v>
      </c>
      <c r="C265" s="10" t="s">
        <v>5</v>
      </c>
      <c r="D265" s="10" t="s">
        <v>226</v>
      </c>
      <c r="E265" s="10" t="s">
        <v>15</v>
      </c>
      <c r="F265" s="13">
        <v>18.14</v>
      </c>
      <c r="G265" s="13">
        <v>4.76</v>
      </c>
      <c r="H265" s="13">
        <f t="shared" si="20"/>
        <v>22.9</v>
      </c>
      <c r="I265" s="13">
        <f t="shared" si="21"/>
        <v>13.829999999999998</v>
      </c>
      <c r="J265" s="13"/>
      <c r="K265" s="13"/>
      <c r="L265" s="13"/>
      <c r="M265" s="13"/>
      <c r="N265" s="13"/>
      <c r="O265" s="13"/>
      <c r="P265" s="13"/>
      <c r="Q265" s="13"/>
      <c r="R265" s="13"/>
      <c r="S265" s="13"/>
      <c r="T265" s="13"/>
      <c r="U265" s="13"/>
      <c r="V265" s="13"/>
      <c r="W265" s="13"/>
      <c r="X265" s="13"/>
      <c r="Y265" s="13"/>
      <c r="Z265" s="13" t="str">
        <f t="shared" si="22"/>
        <v>low</v>
      </c>
      <c r="AA265" s="13" t="str" cm="1">
        <f t="array" ref="AA265">_xlfn.IFS(H265&gt;30,"high",H265&gt;20,"medium",H265&lt;=20,"low")</f>
        <v>medium</v>
      </c>
      <c r="AB265" s="13" t="b">
        <f t="shared" si="23"/>
        <v>1</v>
      </c>
      <c r="AC265" s="13" t="b">
        <f t="shared" si="24"/>
        <v>1</v>
      </c>
    </row>
    <row r="266" spans="1:29">
      <c r="A266" s="10" t="s">
        <v>195</v>
      </c>
      <c r="B266" s="12">
        <v>46033</v>
      </c>
      <c r="C266" s="10" t="s">
        <v>19</v>
      </c>
      <c r="D266" s="10" t="s">
        <v>226</v>
      </c>
      <c r="E266" s="10" t="s">
        <v>15</v>
      </c>
      <c r="F266" s="13">
        <v>20.18</v>
      </c>
      <c r="G266" s="13">
        <v>10.14</v>
      </c>
      <c r="H266" s="13">
        <f t="shared" si="20"/>
        <v>30.32</v>
      </c>
      <c r="I266" s="13">
        <f t="shared" si="21"/>
        <v>20.23</v>
      </c>
      <c r="J266" s="13"/>
      <c r="K266" s="13"/>
      <c r="L266" s="13"/>
      <c r="M266" s="13"/>
      <c r="N266" s="13"/>
      <c r="O266" s="13"/>
      <c r="P266" s="13"/>
      <c r="Q266" s="13"/>
      <c r="R266" s="13"/>
      <c r="S266" s="13"/>
      <c r="T266" s="13"/>
      <c r="U266" s="13"/>
      <c r="V266" s="13"/>
      <c r="W266" s="13"/>
      <c r="X266" s="13"/>
      <c r="Y266" s="13"/>
      <c r="Z266" s="13" t="str">
        <f t="shared" si="22"/>
        <v>high</v>
      </c>
      <c r="AA266" s="13" t="str" cm="1">
        <f t="array" ref="AA266">_xlfn.IFS(H266&gt;30,"high",H266&gt;20,"medium",H266&lt;=20,"low")</f>
        <v>high</v>
      </c>
      <c r="AB266" s="13" t="b">
        <f t="shared" si="23"/>
        <v>1</v>
      </c>
      <c r="AC266" s="13" t="b">
        <f t="shared" si="24"/>
        <v>1</v>
      </c>
    </row>
    <row r="267" spans="1:29">
      <c r="A267" s="10" t="s">
        <v>318</v>
      </c>
      <c r="B267" s="12">
        <v>45897</v>
      </c>
      <c r="C267" s="10" t="s">
        <v>9</v>
      </c>
      <c r="D267" s="10" t="s">
        <v>6</v>
      </c>
      <c r="E267" s="10" t="s">
        <v>15</v>
      </c>
      <c r="F267" s="13">
        <v>11.69</v>
      </c>
      <c r="G267" s="13">
        <v>1.96</v>
      </c>
      <c r="H267" s="13">
        <f t="shared" si="20"/>
        <v>13.649999999999999</v>
      </c>
      <c r="I267" s="13">
        <f t="shared" si="21"/>
        <v>7.8049999999999997</v>
      </c>
      <c r="J267" s="13"/>
      <c r="K267" s="13"/>
      <c r="L267" s="13"/>
      <c r="M267" s="13"/>
      <c r="N267" s="13"/>
      <c r="O267" s="13"/>
      <c r="P267" s="13"/>
      <c r="Q267" s="13"/>
      <c r="R267" s="13"/>
      <c r="S267" s="13"/>
      <c r="T267" s="13"/>
      <c r="U267" s="13"/>
      <c r="V267" s="13"/>
      <c r="W267" s="13"/>
      <c r="X267" s="13"/>
      <c r="Y267" s="13"/>
      <c r="Z267" s="13" t="str">
        <f t="shared" si="22"/>
        <v>low</v>
      </c>
      <c r="AA267" s="13" t="str" cm="1">
        <f t="array" ref="AA267">_xlfn.IFS(H267&gt;30,"high",H267&gt;20,"medium",H267&lt;=20,"low")</f>
        <v>low</v>
      </c>
      <c r="AB267" s="13" t="b">
        <f t="shared" si="23"/>
        <v>0</v>
      </c>
      <c r="AC267" s="13" t="b">
        <f t="shared" si="24"/>
        <v>1</v>
      </c>
    </row>
    <row r="268" spans="1:29">
      <c r="A268" s="10" t="s">
        <v>196</v>
      </c>
      <c r="B268" s="12">
        <v>45982</v>
      </c>
      <c r="C268" s="10" t="s">
        <v>21</v>
      </c>
      <c r="D268" s="10" t="s">
        <v>224</v>
      </c>
      <c r="E268" s="10" t="s">
        <v>12</v>
      </c>
      <c r="F268" s="13">
        <v>20.93</v>
      </c>
      <c r="G268" s="13">
        <v>3.94</v>
      </c>
      <c r="H268" s="13">
        <f t="shared" si="20"/>
        <v>24.87</v>
      </c>
      <c r="I268" s="13">
        <f t="shared" si="21"/>
        <v>14.405000000000001</v>
      </c>
      <c r="J268" s="13"/>
      <c r="K268" s="13"/>
      <c r="L268" s="13"/>
      <c r="M268" s="13"/>
      <c r="N268" s="13"/>
      <c r="O268" s="13"/>
      <c r="P268" s="13"/>
      <c r="Q268" s="13"/>
      <c r="R268" s="13"/>
      <c r="S268" s="13"/>
      <c r="T268" s="13"/>
      <c r="U268" s="13"/>
      <c r="V268" s="13"/>
      <c r="W268" s="13"/>
      <c r="X268" s="13"/>
      <c r="Y268" s="13"/>
      <c r="Z268" s="13" t="str">
        <f t="shared" si="22"/>
        <v>low</v>
      </c>
      <c r="AA268" s="13" t="str" cm="1">
        <f t="array" ref="AA268">_xlfn.IFS(H268&gt;30,"high",H268&gt;20,"medium",H268&lt;=20,"low")</f>
        <v>medium</v>
      </c>
      <c r="AB268" s="13" t="b">
        <f t="shared" si="23"/>
        <v>1</v>
      </c>
      <c r="AC268" s="13" t="b">
        <f t="shared" si="24"/>
        <v>1</v>
      </c>
    </row>
    <row r="269" spans="1:29">
      <c r="A269" s="10" t="s">
        <v>103</v>
      </c>
      <c r="B269" s="12">
        <v>45960</v>
      </c>
      <c r="C269" s="10" t="s">
        <v>5</v>
      </c>
      <c r="D269" s="10" t="s">
        <v>226</v>
      </c>
      <c r="E269" s="10" t="s">
        <v>12</v>
      </c>
      <c r="F269" s="13">
        <v>38.299999999999997</v>
      </c>
      <c r="G269" s="13">
        <v>4.96</v>
      </c>
      <c r="H269" s="13">
        <f t="shared" si="20"/>
        <v>43.26</v>
      </c>
      <c r="I269" s="13">
        <f t="shared" si="21"/>
        <v>24.11</v>
      </c>
      <c r="J269" s="13"/>
      <c r="K269" s="13"/>
      <c r="L269" s="13"/>
      <c r="M269" s="13"/>
      <c r="N269" s="13"/>
      <c r="O269" s="13"/>
      <c r="P269" s="13"/>
      <c r="Q269" s="13"/>
      <c r="R269" s="13"/>
      <c r="S269" s="13"/>
      <c r="T269" s="13"/>
      <c r="U269" s="13"/>
      <c r="V269" s="13"/>
      <c r="W269" s="13"/>
      <c r="X269" s="13"/>
      <c r="Y269" s="13"/>
      <c r="Z269" s="13" t="str">
        <f t="shared" si="22"/>
        <v>high</v>
      </c>
      <c r="AA269" s="13" t="str" cm="1">
        <f t="array" ref="AA269">_xlfn.IFS(H269&gt;30,"high",H269&gt;20,"medium",H269&lt;=20,"low")</f>
        <v>high</v>
      </c>
      <c r="AB269" s="13" t="b">
        <f t="shared" si="23"/>
        <v>1</v>
      </c>
      <c r="AC269" s="13" t="b">
        <f t="shared" si="24"/>
        <v>1</v>
      </c>
    </row>
    <row r="270" spans="1:29">
      <c r="A270" s="10" t="s">
        <v>197</v>
      </c>
      <c r="B270" s="12">
        <v>45824</v>
      </c>
      <c r="C270" s="10" t="s">
        <v>5</v>
      </c>
      <c r="D270" s="10" t="s">
        <v>226</v>
      </c>
      <c r="E270" s="10" t="s">
        <v>12</v>
      </c>
      <c r="F270" s="13">
        <v>48</v>
      </c>
      <c r="G270" s="13">
        <v>1.93</v>
      </c>
      <c r="H270" s="13">
        <f t="shared" si="20"/>
        <v>49.93</v>
      </c>
      <c r="I270" s="13">
        <f t="shared" si="21"/>
        <v>25.93</v>
      </c>
      <c r="J270" s="13"/>
      <c r="K270" s="13"/>
      <c r="L270" s="13"/>
      <c r="M270" s="13"/>
      <c r="N270" s="13"/>
      <c r="O270" s="13"/>
      <c r="P270" s="13"/>
      <c r="Q270" s="13"/>
      <c r="R270" s="13"/>
      <c r="S270" s="13"/>
      <c r="T270" s="13"/>
      <c r="U270" s="13"/>
      <c r="V270" s="13"/>
      <c r="W270" s="13"/>
      <c r="X270" s="13"/>
      <c r="Y270" s="13"/>
      <c r="Z270" s="13" t="str">
        <f t="shared" si="22"/>
        <v>high</v>
      </c>
      <c r="AA270" s="13" t="str" cm="1">
        <f t="array" ref="AA270">_xlfn.IFS(H270&gt;30,"high",H270&gt;20,"medium",H270&lt;=20,"low")</f>
        <v>high</v>
      </c>
      <c r="AB270" s="13" t="b">
        <f t="shared" si="23"/>
        <v>1</v>
      </c>
      <c r="AC270" s="13" t="b">
        <f t="shared" si="24"/>
        <v>1</v>
      </c>
    </row>
    <row r="271" spans="1:29">
      <c r="A271" s="10" t="s">
        <v>319</v>
      </c>
      <c r="B271" s="12">
        <v>46174</v>
      </c>
      <c r="C271" s="10" t="s">
        <v>5</v>
      </c>
      <c r="D271" s="10" t="s">
        <v>6</v>
      </c>
      <c r="E271" s="10" t="s">
        <v>15</v>
      </c>
      <c r="F271" s="13">
        <v>28.12</v>
      </c>
      <c r="G271" s="13">
        <v>0.8</v>
      </c>
      <c r="H271" s="13">
        <f t="shared" si="20"/>
        <v>28.92</v>
      </c>
      <c r="I271" s="13">
        <f t="shared" si="21"/>
        <v>14.860000000000001</v>
      </c>
      <c r="J271" s="13"/>
      <c r="K271" s="13"/>
      <c r="L271" s="13"/>
      <c r="M271" s="13"/>
      <c r="N271" s="13"/>
      <c r="O271" s="13"/>
      <c r="P271" s="13"/>
      <c r="Q271" s="13"/>
      <c r="R271" s="13"/>
      <c r="S271" s="13"/>
      <c r="T271" s="13"/>
      <c r="U271" s="13"/>
      <c r="V271" s="13"/>
      <c r="W271" s="13"/>
      <c r="X271" s="13"/>
      <c r="Y271" s="13"/>
      <c r="Z271" s="13" t="str">
        <f t="shared" si="22"/>
        <v>low</v>
      </c>
      <c r="AA271" s="13" t="str" cm="1">
        <f t="array" ref="AA271">_xlfn.IFS(H271&gt;30,"high",H271&gt;20,"medium",H271&lt;=20,"low")</f>
        <v>medium</v>
      </c>
      <c r="AB271" s="13" t="b">
        <f t="shared" si="23"/>
        <v>1</v>
      </c>
      <c r="AC271" s="13" t="b">
        <f t="shared" si="24"/>
        <v>1</v>
      </c>
    </row>
    <row r="272" spans="1:29">
      <c r="A272" s="10" t="s">
        <v>320</v>
      </c>
      <c r="B272" s="12">
        <v>45911</v>
      </c>
      <c r="C272" s="10" t="s">
        <v>5</v>
      </c>
      <c r="D272" s="10" t="s">
        <v>224</v>
      </c>
      <c r="E272" s="10" t="s">
        <v>12</v>
      </c>
      <c r="F272" s="13">
        <v>45.51</v>
      </c>
      <c r="G272" s="13">
        <v>4.9800000000000004</v>
      </c>
      <c r="H272" s="13">
        <f t="shared" si="20"/>
        <v>50.489999999999995</v>
      </c>
      <c r="I272" s="13">
        <f t="shared" si="21"/>
        <v>27.734999999999999</v>
      </c>
      <c r="J272" s="13"/>
      <c r="K272" s="13"/>
      <c r="L272" s="13"/>
      <c r="M272" s="13"/>
      <c r="N272" s="13"/>
      <c r="O272" s="13"/>
      <c r="P272" s="13"/>
      <c r="Q272" s="13"/>
      <c r="R272" s="13"/>
      <c r="S272" s="13"/>
      <c r="T272" s="13"/>
      <c r="U272" s="13"/>
      <c r="V272" s="13"/>
      <c r="W272" s="13"/>
      <c r="X272" s="13"/>
      <c r="Y272" s="13"/>
      <c r="Z272" s="13" t="str">
        <f t="shared" si="22"/>
        <v>high</v>
      </c>
      <c r="AA272" s="13" t="str" cm="1">
        <f t="array" ref="AA272">_xlfn.IFS(H272&gt;30,"high",H272&gt;20,"medium",H272&lt;=20,"low")</f>
        <v>high</v>
      </c>
      <c r="AB272" s="13" t="b">
        <f t="shared" si="23"/>
        <v>1</v>
      </c>
      <c r="AC272" s="13" t="b">
        <f t="shared" si="24"/>
        <v>1</v>
      </c>
    </row>
    <row r="273" spans="1:29">
      <c r="A273" s="10" t="s">
        <v>198</v>
      </c>
      <c r="B273" s="12">
        <v>45765</v>
      </c>
      <c r="C273" s="10" t="s">
        <v>19</v>
      </c>
      <c r="D273" s="10" t="s">
        <v>224</v>
      </c>
      <c r="E273" s="10" t="s">
        <v>12</v>
      </c>
      <c r="F273" s="13">
        <v>11.63</v>
      </c>
      <c r="G273" s="13">
        <v>3.21</v>
      </c>
      <c r="H273" s="13">
        <f t="shared" si="20"/>
        <v>14.84</v>
      </c>
      <c r="I273" s="13">
        <f t="shared" si="21"/>
        <v>9.0250000000000004</v>
      </c>
      <c r="J273" s="13"/>
      <c r="K273" s="13"/>
      <c r="L273" s="13"/>
      <c r="M273" s="13"/>
      <c r="N273" s="13"/>
      <c r="O273" s="13"/>
      <c r="P273" s="13"/>
      <c r="Q273" s="13"/>
      <c r="R273" s="13"/>
      <c r="S273" s="13"/>
      <c r="T273" s="13"/>
      <c r="U273" s="13"/>
      <c r="V273" s="13"/>
      <c r="W273" s="13"/>
      <c r="X273" s="13"/>
      <c r="Y273" s="13"/>
      <c r="Z273" s="13" t="str">
        <f t="shared" si="22"/>
        <v>low</v>
      </c>
      <c r="AA273" s="13" t="str" cm="1">
        <f t="array" ref="AA273">_xlfn.IFS(H273&gt;30,"high",H273&gt;20,"medium",H273&lt;=20,"low")</f>
        <v>low</v>
      </c>
      <c r="AB273" s="13" t="b">
        <f t="shared" si="23"/>
        <v>0</v>
      </c>
      <c r="AC273" s="13" t="b">
        <f t="shared" si="24"/>
        <v>1</v>
      </c>
    </row>
    <row r="274" spans="1:29">
      <c r="A274" s="10" t="s">
        <v>199</v>
      </c>
      <c r="B274" s="12">
        <v>45748</v>
      </c>
      <c r="C274" s="10" t="s">
        <v>19</v>
      </c>
      <c r="D274" s="10" t="s">
        <v>224</v>
      </c>
      <c r="E274" s="10" t="s">
        <v>8</v>
      </c>
      <c r="F274" s="13">
        <v>8.94</v>
      </c>
      <c r="G274" s="13">
        <v>5.24</v>
      </c>
      <c r="H274" s="13">
        <f t="shared" si="20"/>
        <v>14.18</v>
      </c>
      <c r="I274" s="13">
        <f t="shared" si="21"/>
        <v>9.7100000000000009</v>
      </c>
      <c r="J274" s="13"/>
      <c r="K274" s="13"/>
      <c r="L274" s="13"/>
      <c r="M274" s="13"/>
      <c r="N274" s="13"/>
      <c r="O274" s="13"/>
      <c r="P274" s="13"/>
      <c r="Q274" s="13"/>
      <c r="R274" s="13"/>
      <c r="S274" s="13"/>
      <c r="T274" s="13"/>
      <c r="U274" s="13"/>
      <c r="V274" s="13"/>
      <c r="W274" s="13"/>
      <c r="X274" s="13"/>
      <c r="Y274" s="13"/>
      <c r="Z274" s="13" t="str">
        <f t="shared" si="22"/>
        <v>low</v>
      </c>
      <c r="AA274" s="13" t="str" cm="1">
        <f t="array" ref="AA274">_xlfn.IFS(H274&gt;30,"high",H274&gt;20,"medium",H274&lt;=20,"low")</f>
        <v>low</v>
      </c>
      <c r="AB274" s="13" t="b">
        <f t="shared" si="23"/>
        <v>0</v>
      </c>
      <c r="AC274" s="13" t="b">
        <f t="shared" si="24"/>
        <v>1</v>
      </c>
    </row>
    <row r="275" spans="1:29">
      <c r="A275" s="10" t="s">
        <v>165</v>
      </c>
      <c r="B275" s="12">
        <v>45913</v>
      </c>
      <c r="C275" s="10" t="s">
        <v>5</v>
      </c>
      <c r="D275" s="10" t="s">
        <v>6</v>
      </c>
      <c r="E275" s="10" t="s">
        <v>6</v>
      </c>
      <c r="F275" s="13">
        <v>62.86</v>
      </c>
      <c r="G275" s="13">
        <v>3.63</v>
      </c>
      <c r="H275" s="13">
        <f t="shared" si="20"/>
        <v>66.489999999999995</v>
      </c>
      <c r="I275" s="13">
        <f t="shared" si="21"/>
        <v>35.059999999999995</v>
      </c>
      <c r="J275" s="13"/>
      <c r="K275" s="13"/>
      <c r="L275" s="13"/>
      <c r="M275" s="13"/>
      <c r="N275" s="13"/>
      <c r="O275" s="13"/>
      <c r="P275" s="13"/>
      <c r="Q275" s="13"/>
      <c r="R275" s="13"/>
      <c r="S275" s="13"/>
      <c r="T275" s="13"/>
      <c r="U275" s="13"/>
      <c r="V275" s="13"/>
      <c r="W275" s="13"/>
      <c r="X275" s="13"/>
      <c r="Y275" s="13"/>
      <c r="Z275" s="13" t="str">
        <f t="shared" si="22"/>
        <v>high</v>
      </c>
      <c r="AA275" s="13" t="str" cm="1">
        <f t="array" ref="AA275">_xlfn.IFS(H275&gt;30,"high",H275&gt;20,"medium",H275&lt;=20,"low")</f>
        <v>high</v>
      </c>
      <c r="AB275" s="13" t="b">
        <f t="shared" si="23"/>
        <v>0</v>
      </c>
      <c r="AC275" s="13" t="b">
        <f t="shared" si="24"/>
        <v>1</v>
      </c>
    </row>
    <row r="276" spans="1:29">
      <c r="A276" s="10" t="s">
        <v>200</v>
      </c>
      <c r="B276" s="12">
        <v>45766</v>
      </c>
      <c r="C276" s="10" t="s">
        <v>14</v>
      </c>
      <c r="D276" s="10" t="s">
        <v>224</v>
      </c>
      <c r="E276" s="10" t="s">
        <v>15</v>
      </c>
      <c r="F276" s="13">
        <v>37.78</v>
      </c>
      <c r="G276" s="13">
        <v>9.98</v>
      </c>
      <c r="H276" s="13">
        <f t="shared" si="20"/>
        <v>47.760000000000005</v>
      </c>
      <c r="I276" s="13">
        <f t="shared" si="21"/>
        <v>28.870000000000005</v>
      </c>
      <c r="J276" s="13"/>
      <c r="K276" s="13"/>
      <c r="L276" s="13"/>
      <c r="M276" s="13"/>
      <c r="N276" s="13"/>
      <c r="O276" s="13"/>
      <c r="P276" s="13"/>
      <c r="Q276" s="13"/>
      <c r="R276" s="13"/>
      <c r="S276" s="13"/>
      <c r="T276" s="13"/>
      <c r="U276" s="13"/>
      <c r="V276" s="13"/>
      <c r="W276" s="13"/>
      <c r="X276" s="13"/>
      <c r="Y276" s="13"/>
      <c r="Z276" s="13" t="str">
        <f t="shared" si="22"/>
        <v>high</v>
      </c>
      <c r="AA276" s="13" t="str" cm="1">
        <f t="array" ref="AA276">_xlfn.IFS(H276&gt;30,"high",H276&gt;20,"medium",H276&lt;=20,"low")</f>
        <v>high</v>
      </c>
      <c r="AB276" s="13" t="b">
        <f t="shared" si="23"/>
        <v>1</v>
      </c>
      <c r="AC276" s="13" t="b">
        <f t="shared" si="24"/>
        <v>1</v>
      </c>
    </row>
    <row r="277" spans="1:29">
      <c r="A277" s="10" t="s">
        <v>321</v>
      </c>
      <c r="B277" s="12">
        <v>45982</v>
      </c>
      <c r="C277" s="10" t="s">
        <v>9</v>
      </c>
      <c r="D277" s="10" t="s">
        <v>6</v>
      </c>
      <c r="E277" s="10" t="s">
        <v>8</v>
      </c>
      <c r="F277" s="13">
        <v>28.19</v>
      </c>
      <c r="G277" s="13">
        <v>1.61</v>
      </c>
      <c r="H277" s="13">
        <f t="shared" si="20"/>
        <v>29.8</v>
      </c>
      <c r="I277" s="13">
        <f t="shared" si="21"/>
        <v>15.705</v>
      </c>
      <c r="J277" s="13"/>
      <c r="K277" s="13"/>
      <c r="L277" s="13"/>
      <c r="M277" s="13"/>
      <c r="N277" s="13"/>
      <c r="O277" s="13"/>
      <c r="P277" s="13"/>
      <c r="Q277" s="13"/>
      <c r="R277" s="13"/>
      <c r="S277" s="13"/>
      <c r="T277" s="13"/>
      <c r="U277" s="13"/>
      <c r="V277" s="13"/>
      <c r="W277" s="13"/>
      <c r="X277" s="13"/>
      <c r="Y277" s="13"/>
      <c r="Z277" s="13" t="str">
        <f t="shared" si="22"/>
        <v>low</v>
      </c>
      <c r="AA277" s="13" t="str" cm="1">
        <f t="array" ref="AA277">_xlfn.IFS(H277&gt;30,"high",H277&gt;20,"medium",H277&lt;=20,"low")</f>
        <v>medium</v>
      </c>
      <c r="AB277" s="13" t="b">
        <f t="shared" si="23"/>
        <v>1</v>
      </c>
      <c r="AC277" s="13" t="b">
        <f t="shared" si="24"/>
        <v>1</v>
      </c>
    </row>
    <row r="278" spans="1:29">
      <c r="A278" s="10" t="s">
        <v>322</v>
      </c>
      <c r="B278" s="12">
        <v>46124</v>
      </c>
      <c r="C278" s="10" t="s">
        <v>19</v>
      </c>
      <c r="D278" s="10" t="s">
        <v>226</v>
      </c>
      <c r="E278" s="10" t="s">
        <v>12</v>
      </c>
      <c r="F278" s="13">
        <v>38.299999999999997</v>
      </c>
      <c r="G278" s="13">
        <v>4.96</v>
      </c>
      <c r="H278" s="13">
        <f t="shared" si="20"/>
        <v>43.26</v>
      </c>
      <c r="I278" s="13">
        <f t="shared" si="21"/>
        <v>24.11</v>
      </c>
      <c r="J278" s="13"/>
      <c r="K278" s="13"/>
      <c r="L278" s="13"/>
      <c r="M278" s="13"/>
      <c r="N278" s="13"/>
      <c r="O278" s="13"/>
      <c r="P278" s="13"/>
      <c r="Q278" s="13"/>
      <c r="R278" s="13"/>
      <c r="S278" s="13"/>
      <c r="T278" s="13"/>
      <c r="U278" s="13"/>
      <c r="V278" s="13"/>
      <c r="W278" s="13"/>
      <c r="X278" s="13"/>
      <c r="Y278" s="13"/>
      <c r="Z278" s="13" t="str">
        <f t="shared" si="22"/>
        <v>high</v>
      </c>
      <c r="AA278" s="13" t="str" cm="1">
        <f t="array" ref="AA278">_xlfn.IFS(H278&gt;30,"high",H278&gt;20,"medium",H278&lt;=20,"low")</f>
        <v>high</v>
      </c>
      <c r="AB278" s="13" t="b">
        <f t="shared" si="23"/>
        <v>1</v>
      </c>
      <c r="AC278" s="13" t="b">
        <f t="shared" si="24"/>
        <v>1</v>
      </c>
    </row>
    <row r="279" spans="1:29">
      <c r="A279" s="10" t="s">
        <v>197</v>
      </c>
      <c r="B279" s="12">
        <v>45768</v>
      </c>
      <c r="C279" s="10" t="s">
        <v>7</v>
      </c>
      <c r="D279" s="10" t="s">
        <v>226</v>
      </c>
      <c r="E279" s="10" t="s">
        <v>15</v>
      </c>
      <c r="F279" s="13">
        <v>63.67</v>
      </c>
      <c r="G279" s="13">
        <v>11.58</v>
      </c>
      <c r="H279" s="13">
        <f t="shared" si="20"/>
        <v>75.25</v>
      </c>
      <c r="I279" s="13">
        <f t="shared" si="21"/>
        <v>43.414999999999999</v>
      </c>
      <c r="J279" s="13"/>
      <c r="K279" s="13"/>
      <c r="L279" s="13"/>
      <c r="M279" s="13"/>
      <c r="N279" s="13"/>
      <c r="O279" s="13"/>
      <c r="P279" s="13"/>
      <c r="Q279" s="13"/>
      <c r="R279" s="13"/>
      <c r="S279" s="13"/>
      <c r="T279" s="13"/>
      <c r="U279" s="13"/>
      <c r="V279" s="13"/>
      <c r="W279" s="13"/>
      <c r="X279" s="13"/>
      <c r="Y279" s="13"/>
      <c r="Z279" s="13" t="str">
        <f t="shared" si="22"/>
        <v>high</v>
      </c>
      <c r="AA279" s="13" t="str" cm="1">
        <f t="array" ref="AA279">_xlfn.IFS(H279&gt;30,"high",H279&gt;20,"medium",H279&lt;=20,"low")</f>
        <v>high</v>
      </c>
      <c r="AB279" s="13" t="b">
        <f t="shared" si="23"/>
        <v>0</v>
      </c>
      <c r="AC279" s="13" t="b">
        <f t="shared" si="24"/>
        <v>1</v>
      </c>
    </row>
    <row r="280" spans="1:29">
      <c r="A280" s="10" t="s">
        <v>201</v>
      </c>
      <c r="B280" s="12">
        <v>45714</v>
      </c>
      <c r="C280" s="10" t="s">
        <v>9</v>
      </c>
      <c r="D280" s="10" t="s">
        <v>226</v>
      </c>
      <c r="E280" s="10" t="s">
        <v>6</v>
      </c>
      <c r="F280" s="13">
        <v>61.74</v>
      </c>
      <c r="G280" s="13">
        <v>4.1399999999999997</v>
      </c>
      <c r="H280" s="13">
        <f t="shared" si="20"/>
        <v>65.88</v>
      </c>
      <c r="I280" s="13">
        <f t="shared" si="21"/>
        <v>35.01</v>
      </c>
      <c r="J280" s="13"/>
      <c r="K280" s="13"/>
      <c r="L280" s="13"/>
      <c r="M280" s="13"/>
      <c r="N280" s="13"/>
      <c r="O280" s="13"/>
      <c r="P280" s="13"/>
      <c r="Q280" s="13"/>
      <c r="R280" s="13"/>
      <c r="S280" s="13"/>
      <c r="T280" s="13"/>
      <c r="U280" s="13"/>
      <c r="V280" s="13"/>
      <c r="W280" s="13"/>
      <c r="X280" s="13"/>
      <c r="Y280" s="13"/>
      <c r="Z280" s="13" t="str">
        <f t="shared" si="22"/>
        <v>high</v>
      </c>
      <c r="AA280" s="13" t="str" cm="1">
        <f t="array" ref="AA280">_xlfn.IFS(H280&gt;30,"high",H280&gt;20,"medium",H280&lt;=20,"low")</f>
        <v>high</v>
      </c>
      <c r="AB280" s="13" t="b">
        <f t="shared" si="23"/>
        <v>0</v>
      </c>
      <c r="AC280" s="13" t="b">
        <f t="shared" si="24"/>
        <v>1</v>
      </c>
    </row>
    <row r="281" spans="1:29">
      <c r="A281" s="10" t="s">
        <v>202</v>
      </c>
      <c r="B281" s="12">
        <v>46015</v>
      </c>
      <c r="C281" s="10" t="s">
        <v>14</v>
      </c>
      <c r="D281" s="10" t="s">
        <v>226</v>
      </c>
      <c r="E281" s="10" t="s">
        <v>6</v>
      </c>
      <c r="F281" s="13">
        <v>77.84</v>
      </c>
      <c r="G281" s="13">
        <v>14.61</v>
      </c>
      <c r="H281" s="13">
        <f t="shared" si="20"/>
        <v>92.45</v>
      </c>
      <c r="I281" s="13">
        <f t="shared" si="21"/>
        <v>53.53</v>
      </c>
      <c r="J281" s="13"/>
      <c r="K281" s="13"/>
      <c r="L281" s="13"/>
      <c r="M281" s="13"/>
      <c r="N281" s="13"/>
      <c r="O281" s="13"/>
      <c r="P281" s="13"/>
      <c r="Q281" s="13"/>
      <c r="R281" s="13"/>
      <c r="S281" s="13"/>
      <c r="T281" s="13"/>
      <c r="U281" s="13"/>
      <c r="V281" s="13"/>
      <c r="W281" s="13"/>
      <c r="X281" s="13"/>
      <c r="Y281" s="13"/>
      <c r="Z281" s="13" t="str">
        <f t="shared" si="22"/>
        <v>high</v>
      </c>
      <c r="AA281" s="13" t="str" cm="1">
        <f t="array" ref="AA281">_xlfn.IFS(H281&gt;30,"high",H281&gt;20,"medium",H281&lt;=20,"low")</f>
        <v>high</v>
      </c>
      <c r="AB281" s="13" t="b">
        <f t="shared" si="23"/>
        <v>0</v>
      </c>
      <c r="AC281" s="13" t="b">
        <f t="shared" si="24"/>
        <v>1</v>
      </c>
    </row>
    <row r="282" spans="1:29">
      <c r="A282" s="10" t="s">
        <v>323</v>
      </c>
      <c r="B282" s="12">
        <v>45828</v>
      </c>
      <c r="C282" s="10" t="s">
        <v>9</v>
      </c>
      <c r="D282" s="10" t="s">
        <v>226</v>
      </c>
      <c r="E282" s="10" t="s">
        <v>12</v>
      </c>
      <c r="F282" s="13">
        <v>21.35</v>
      </c>
      <c r="G282" s="13">
        <v>6.8</v>
      </c>
      <c r="H282" s="13">
        <f t="shared" si="20"/>
        <v>28.150000000000002</v>
      </c>
      <c r="I282" s="13">
        <f t="shared" si="21"/>
        <v>17.475000000000001</v>
      </c>
      <c r="J282" s="13"/>
      <c r="K282" s="13"/>
      <c r="L282" s="13"/>
      <c r="M282" s="13"/>
      <c r="N282" s="13"/>
      <c r="O282" s="13"/>
      <c r="P282" s="13"/>
      <c r="Q282" s="13"/>
      <c r="R282" s="13"/>
      <c r="S282" s="13"/>
      <c r="T282" s="13"/>
      <c r="U282" s="13"/>
      <c r="V282" s="13"/>
      <c r="W282" s="13"/>
      <c r="X282" s="13"/>
      <c r="Y282" s="13"/>
      <c r="Z282" s="13" t="str">
        <f t="shared" si="22"/>
        <v>low</v>
      </c>
      <c r="AA282" s="13" t="str" cm="1">
        <f t="array" ref="AA282">_xlfn.IFS(H282&gt;30,"high",H282&gt;20,"medium",H282&lt;=20,"low")</f>
        <v>medium</v>
      </c>
      <c r="AB282" s="13" t="b">
        <f t="shared" si="23"/>
        <v>1</v>
      </c>
      <c r="AC282" s="13" t="b">
        <f t="shared" si="24"/>
        <v>1</v>
      </c>
    </row>
    <row r="283" spans="1:29">
      <c r="A283" s="10" t="s">
        <v>203</v>
      </c>
      <c r="B283" s="12">
        <v>46144</v>
      </c>
      <c r="C283" s="10" t="s">
        <v>14</v>
      </c>
      <c r="D283" s="10" t="s">
        <v>224</v>
      </c>
      <c r="E283" s="10" t="s">
        <v>15</v>
      </c>
      <c r="F283" s="13">
        <v>50.4</v>
      </c>
      <c r="G283" s="13">
        <v>8.23</v>
      </c>
      <c r="H283" s="13">
        <f t="shared" si="20"/>
        <v>58.629999999999995</v>
      </c>
      <c r="I283" s="13">
        <f t="shared" si="21"/>
        <v>33.43</v>
      </c>
      <c r="J283" s="13"/>
      <c r="K283" s="13"/>
      <c r="L283" s="13"/>
      <c r="M283" s="13"/>
      <c r="N283" s="13"/>
      <c r="O283" s="13"/>
      <c r="P283" s="13"/>
      <c r="Q283" s="13"/>
      <c r="R283" s="13"/>
      <c r="S283" s="13"/>
      <c r="T283" s="13"/>
      <c r="U283" s="13"/>
      <c r="V283" s="13"/>
      <c r="W283" s="13"/>
      <c r="X283" s="13"/>
      <c r="Y283" s="13"/>
      <c r="Z283" s="13" t="str">
        <f t="shared" si="22"/>
        <v>high</v>
      </c>
      <c r="AA283" s="13" t="str" cm="1">
        <f t="array" ref="AA283">_xlfn.IFS(H283&gt;30,"high",H283&gt;20,"medium",H283&lt;=20,"low")</f>
        <v>high</v>
      </c>
      <c r="AB283" s="13" t="b">
        <f t="shared" si="23"/>
        <v>0</v>
      </c>
      <c r="AC283" s="13" t="b">
        <f t="shared" si="24"/>
        <v>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A9C17-3FCE-4BEA-80DD-8935DE9B0995}">
  <dimension ref="A1:G17"/>
  <sheetViews>
    <sheetView topLeftCell="A2" workbookViewId="0">
      <selection activeCell="E14" sqref="E14"/>
    </sheetView>
  </sheetViews>
  <sheetFormatPr defaultRowHeight="14.5"/>
  <cols>
    <col min="1" max="1" width="35.1796875" customWidth="1"/>
    <col min="2" max="2" width="16.6328125" customWidth="1"/>
    <col min="5" max="5" width="72.08984375" customWidth="1"/>
    <col min="6" max="6" width="19.26953125" customWidth="1"/>
    <col min="7" max="7" width="18.81640625" style="8" customWidth="1"/>
  </cols>
  <sheetData>
    <row r="1" spans="1:7">
      <c r="A1" s="5" t="s">
        <v>331</v>
      </c>
      <c r="B1" s="5" t="s">
        <v>332</v>
      </c>
      <c r="F1" s="5" t="s">
        <v>337</v>
      </c>
      <c r="G1" s="6"/>
    </row>
    <row r="2" spans="1:7" ht="42" customHeight="1">
      <c r="A2" s="1" t="s">
        <v>333</v>
      </c>
      <c r="B2" s="1">
        <v>282</v>
      </c>
      <c r="F2" s="1" t="s">
        <v>326</v>
      </c>
      <c r="G2" s="7" t="s">
        <v>328</v>
      </c>
    </row>
    <row r="3" spans="1:7" ht="51.5" customHeight="1">
      <c r="A3" s="1" t="s">
        <v>366</v>
      </c>
      <c r="B3" s="1">
        <v>9130.6</v>
      </c>
      <c r="F3" s="1" t="s">
        <v>327</v>
      </c>
      <c r="G3" s="7" t="s">
        <v>329</v>
      </c>
    </row>
    <row r="4" spans="1:7" ht="32" customHeight="1">
      <c r="A4" s="1" t="s">
        <v>367</v>
      </c>
      <c r="B4" s="18">
        <v>0.53500000000000003</v>
      </c>
      <c r="F4" s="1" t="s">
        <v>220</v>
      </c>
      <c r="G4" s="7" t="s">
        <v>330</v>
      </c>
    </row>
    <row r="5" spans="1:7" ht="21" customHeight="1">
      <c r="A5" s="1" t="s">
        <v>368</v>
      </c>
      <c r="B5" s="18">
        <v>1.7000000000000001E-2</v>
      </c>
      <c r="F5" s="1"/>
      <c r="G5" s="7"/>
    </row>
    <row r="6" spans="1:7" ht="22.5" customHeight="1">
      <c r="A6" s="1" t="s">
        <v>369</v>
      </c>
      <c r="B6" s="18">
        <v>0.92800000000000005</v>
      </c>
      <c r="F6" s="1"/>
    </row>
    <row r="7" spans="1:7" ht="22.5" customHeight="1">
      <c r="A7" s="1" t="s">
        <v>370</v>
      </c>
      <c r="B7" s="18">
        <v>0.28199999999999997</v>
      </c>
    </row>
    <row r="8" spans="1:7" ht="19" customHeight="1">
      <c r="A8" s="1" t="s">
        <v>334</v>
      </c>
      <c r="B8" s="1">
        <v>282</v>
      </c>
    </row>
    <row r="9" spans="1:7" ht="15" customHeight="1">
      <c r="A9" s="1" t="s">
        <v>335</v>
      </c>
      <c r="B9" s="1">
        <v>18</v>
      </c>
    </row>
    <row r="10" spans="1:7" ht="24" customHeight="1">
      <c r="A10" s="1" t="s">
        <v>336</v>
      </c>
      <c r="B10" s="1">
        <v>0</v>
      </c>
      <c r="E10" t="s">
        <v>385</v>
      </c>
    </row>
    <row r="11" spans="1:7" ht="19.5" customHeight="1">
      <c r="A11" s="1" t="s">
        <v>221</v>
      </c>
      <c r="B11" s="1">
        <v>0</v>
      </c>
      <c r="E11" t="s">
        <v>386</v>
      </c>
      <c r="F11" s="1"/>
    </row>
    <row r="12" spans="1:7" ht="21" customHeight="1">
      <c r="A12" s="1" t="s">
        <v>372</v>
      </c>
      <c r="B12" s="1" t="s">
        <v>376</v>
      </c>
      <c r="E12" t="s">
        <v>387</v>
      </c>
      <c r="F12" s="1"/>
    </row>
    <row r="13" spans="1:7" ht="21.5" customHeight="1">
      <c r="A13" s="1" t="s">
        <v>371</v>
      </c>
      <c r="B13" s="1" t="s">
        <v>375</v>
      </c>
      <c r="E13" t="s">
        <v>388</v>
      </c>
      <c r="F13" s="1"/>
    </row>
    <row r="14" spans="1:7" ht="22.5" customHeight="1">
      <c r="A14" s="1" t="s">
        <v>377</v>
      </c>
      <c r="B14" s="1" t="s">
        <v>378</v>
      </c>
      <c r="E14" t="s">
        <v>389</v>
      </c>
      <c r="F14" s="1"/>
    </row>
    <row r="15" spans="1:7" ht="27.5" customHeight="1">
      <c r="A15" s="1" t="s">
        <v>373</v>
      </c>
      <c r="B15" s="1" t="s">
        <v>374</v>
      </c>
    </row>
    <row r="16" spans="1:7">
      <c r="A16" s="1" t="s">
        <v>383</v>
      </c>
      <c r="B16" t="s">
        <v>381</v>
      </c>
    </row>
    <row r="17" spans="1:2">
      <c r="A17" s="1" t="s">
        <v>382</v>
      </c>
      <c r="B17" s="1" t="s">
        <v>384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A8654-84BE-4498-B745-5A3B430C7D16}">
  <dimension ref="A3:B49"/>
  <sheetViews>
    <sheetView tabSelected="1" topLeftCell="A29" zoomScale="84" zoomScaleNormal="84" workbookViewId="0">
      <selection activeCell="A38" sqref="A38"/>
    </sheetView>
  </sheetViews>
  <sheetFormatPr defaultRowHeight="14.5"/>
  <cols>
    <col min="1" max="1" width="13.26953125" bestFit="1" customWidth="1"/>
    <col min="2" max="2" width="21.08984375" bestFit="1" customWidth="1"/>
  </cols>
  <sheetData>
    <row r="3" spans="1:2">
      <c r="A3" s="9" t="s">
        <v>359</v>
      </c>
      <c r="B3" t="s">
        <v>361</v>
      </c>
    </row>
    <row r="4" spans="1:2">
      <c r="A4" s="10" t="s">
        <v>6</v>
      </c>
      <c r="B4" s="4">
        <v>226.28</v>
      </c>
    </row>
    <row r="5" spans="1:2">
      <c r="A5" s="10" t="s">
        <v>226</v>
      </c>
      <c r="B5" s="4">
        <v>396.68999999999994</v>
      </c>
    </row>
    <row r="6" spans="1:2">
      <c r="A6" s="10" t="s">
        <v>224</v>
      </c>
      <c r="B6" s="4">
        <v>456.41999999999996</v>
      </c>
    </row>
    <row r="7" spans="1:2">
      <c r="A7" s="10" t="s">
        <v>360</v>
      </c>
      <c r="B7" s="4">
        <v>1079.3899999999999</v>
      </c>
    </row>
    <row r="25" spans="1:2">
      <c r="A25" s="9" t="s">
        <v>359</v>
      </c>
      <c r="B25" t="s">
        <v>363</v>
      </c>
    </row>
    <row r="26" spans="1:2">
      <c r="A26" s="10" t="s">
        <v>14</v>
      </c>
      <c r="B26" s="4">
        <v>1286.7700000000002</v>
      </c>
    </row>
    <row r="27" spans="1:2">
      <c r="A27" s="10" t="s">
        <v>360</v>
      </c>
      <c r="B27" s="4">
        <v>1286.7700000000002</v>
      </c>
    </row>
    <row r="46" spans="1:2">
      <c r="A46" s="9" t="s">
        <v>359</v>
      </c>
      <c r="B46" t="s">
        <v>361</v>
      </c>
    </row>
    <row r="47" spans="1:2">
      <c r="A47" s="10" t="s">
        <v>379</v>
      </c>
      <c r="B47" s="4">
        <v>717.95</v>
      </c>
    </row>
    <row r="48" spans="1:2">
      <c r="A48" s="10" t="s">
        <v>380</v>
      </c>
      <c r="B48" s="4">
        <v>361.43999999999994</v>
      </c>
    </row>
    <row r="49" spans="1:2">
      <c r="A49" s="10" t="s">
        <v>360</v>
      </c>
      <c r="B49" s="4">
        <v>1079.3899999999999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33F4A-66D0-4563-B174-2F65364134F7}">
  <dimension ref="A1"/>
  <sheetViews>
    <sheetView showGridLines="0" topLeftCell="A29" workbookViewId="0">
      <selection activeCell="E33" sqref="E33"/>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Row data</vt:lpstr>
      <vt:lpstr>cleaned data</vt:lpstr>
      <vt:lpstr>analaysis</vt:lpstr>
      <vt:lpstr>sumarry</vt:lpstr>
      <vt:lpstr>pivotaple</vt:lpstr>
      <vt:lpstr>Dashpout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faima bicir</dc:creator>
  <cp:lastModifiedBy>faima bicir</cp:lastModifiedBy>
  <dcterms:created xsi:type="dcterms:W3CDTF">2026-08-20T04:40:18Z</dcterms:created>
  <dcterms:modified xsi:type="dcterms:W3CDTF">2026-08-25T14:41:02Z</dcterms:modified>
</cp:coreProperties>
</file>